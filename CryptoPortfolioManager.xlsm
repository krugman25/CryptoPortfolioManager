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rugman_2\Desktop\YAM\"/>
    </mc:Choice>
  </mc:AlternateContent>
  <xr:revisionPtr revIDLastSave="0" documentId="13_ncr:1_{42B13C08-5944-43DA-BA6D-2C2FA1FD0903}" xr6:coauthVersionLast="45" xr6:coauthVersionMax="45" xr10:uidLastSave="{00000000-0000-0000-0000-000000000000}"/>
  <bookViews>
    <workbookView xWindow="-110" yWindow="-110" windowWidth="38620" windowHeight="21220" activeTab="1" xr2:uid="{AC7F7168-EA68-4E10-ADB5-66B98305ED10}"/>
  </bookViews>
  <sheets>
    <sheet name="AppSettings" sheetId="145" r:id="rId1"/>
    <sheet name="Portfolio" sheetId="1" r:id="rId2"/>
    <sheet name="SymbolData" sheetId="6" state="hidden" r:id="rId3"/>
    <sheet name="MKR" sheetId="218" state="hidden" r:id="rId4"/>
    <sheet name="AAVE" sheetId="219" state="hidden" r:id="rId5"/>
    <sheet name="SNX" sheetId="220" state="hidden" r:id="rId6"/>
    <sheet name="UNI" sheetId="221" state="hidden" r:id="rId7"/>
    <sheet name="YFI" sheetId="222" state="hidden" r:id="rId8"/>
    <sheet name="COMP" sheetId="223" state="hidden" r:id="rId9"/>
    <sheet name="REN" sheetId="224" state="hidden" r:id="rId10"/>
    <sheet name="LRC" sheetId="225" state="hidden" r:id="rId11"/>
    <sheet name="KNC" sheetId="226" state="hidden" r:id="rId12"/>
    <sheet name="BAL" sheetId="227" state="hidden" r:id="rId13"/>
    <sheet name="REP" sheetId="228" state="hidden" r:id="rId14"/>
    <sheet name="LINK" sheetId="229" state="hidden" r:id="rId15"/>
    <sheet name="BTC" sheetId="230" state="hidden" r:id="rId16"/>
    <sheet name="USDC" sheetId="231" state="hidden" r:id="rId17"/>
    <sheet name="ETH" sheetId="232" state="hidden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" i="1" l="1"/>
  <c r="G5" i="1"/>
  <c r="S5" i="1"/>
  <c r="M12" i="1"/>
  <c r="L12" i="1"/>
  <c r="G12" i="1"/>
  <c r="F12" i="1"/>
  <c r="C6" i="1" l="1"/>
  <c r="M9" i="1"/>
  <c r="M8" i="1"/>
  <c r="M7" i="1"/>
  <c r="M6" i="1"/>
  <c r="G6" i="1"/>
  <c r="G9" i="1"/>
  <c r="G8" i="1"/>
  <c r="G7" i="1"/>
  <c r="S8" i="1"/>
  <c r="S9" i="1"/>
  <c r="C5" i="1" l="1"/>
  <c r="R13" i="1"/>
  <c r="S13" i="1"/>
  <c r="R14" i="1"/>
  <c r="S14" i="1"/>
  <c r="R15" i="1"/>
  <c r="S15" i="1"/>
  <c r="R16" i="1"/>
  <c r="S16" i="1"/>
  <c r="R17" i="1"/>
  <c r="S17" i="1"/>
  <c r="R18" i="1"/>
  <c r="S18" i="1"/>
  <c r="R19" i="1"/>
  <c r="S19" i="1"/>
  <c r="R20" i="1"/>
  <c r="S20" i="1"/>
  <c r="R21" i="1"/>
  <c r="S21" i="1"/>
  <c r="R22" i="1"/>
  <c r="S22" i="1"/>
  <c r="S12" i="1"/>
  <c r="R12" i="1"/>
  <c r="S6" i="1" s="1"/>
  <c r="C3" i="1" s="1"/>
  <c r="S7" i="1" l="1"/>
  <c r="C4" i="1" s="1"/>
</calcChain>
</file>

<file path=xl/sharedStrings.xml><?xml version="1.0" encoding="utf-8"?>
<sst xmlns="http://schemas.openxmlformats.org/spreadsheetml/2006/main" count="211" uniqueCount="49">
  <si>
    <t>Name</t>
  </si>
  <si>
    <t>Beta</t>
  </si>
  <si>
    <t>MKR</t>
  </si>
  <si>
    <t>AAVE</t>
  </si>
  <si>
    <t>SNX</t>
  </si>
  <si>
    <t>UNI</t>
  </si>
  <si>
    <t>YFI</t>
  </si>
  <si>
    <t>COMP</t>
  </si>
  <si>
    <t>REN</t>
  </si>
  <si>
    <t>LRC</t>
  </si>
  <si>
    <t>KNC</t>
  </si>
  <si>
    <t>BAL</t>
  </si>
  <si>
    <t>REP</t>
  </si>
  <si>
    <t>Symbol</t>
  </si>
  <si>
    <t>ETH</t>
  </si>
  <si>
    <t>DPI</t>
  </si>
  <si>
    <t>Date</t>
  </si>
  <si>
    <t>Open</t>
  </si>
  <si>
    <t>High</t>
  </si>
  <si>
    <t>Low</t>
  </si>
  <si>
    <t>Close</t>
  </si>
  <si>
    <t>% Change</t>
  </si>
  <si>
    <t>Components</t>
  </si>
  <si>
    <t>LINK</t>
  </si>
  <si>
    <t>BTC</t>
  </si>
  <si>
    <t>Beta wAvg</t>
  </si>
  <si>
    <t>Corr. wAvg</t>
  </si>
  <si>
    <t>Benchmark Asset</t>
  </si>
  <si>
    <t>Calculation Period</t>
  </si>
  <si>
    <t>Total Alloc.</t>
  </si>
  <si>
    <t>Yield</t>
  </si>
  <si>
    <t>Yield (APY)</t>
  </si>
  <si>
    <t>Index Strategy</t>
  </si>
  <si>
    <t>Portfolio</t>
  </si>
  <si>
    <t>Corr.</t>
  </si>
  <si>
    <t>Portfolio Beta Limit</t>
  </si>
  <si>
    <t>Portfolio Corr. Limit</t>
  </si>
  <si>
    <t>Portfolio Size</t>
  </si>
  <si>
    <t>Portfolio Alloc. %</t>
  </si>
  <si>
    <t>Portfolio Alloc. $</t>
  </si>
  <si>
    <t>Alloc.</t>
  </si>
  <si>
    <t>Portfolio Yield Target</t>
  </si>
  <si>
    <t>Symbols</t>
  </si>
  <si>
    <t>Benchmark % Change</t>
  </si>
  <si>
    <t>USDC</t>
  </si>
  <si>
    <t>Stablecoin</t>
  </si>
  <si>
    <t>General Holdings</t>
  </si>
  <si>
    <t>Utc Offset</t>
  </si>
  <si>
    <t>Last 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</si>
</sst>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mm/dd/yyyy"/>
    <numFmt numFmtId="165" formatCode="&quot;$&quot;#,##0.00"/>
    <numFmt numFmtId="166" formatCode="&quot;$&quot;#,##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57">
    <xf numFmtId="0" fontId="0" fillId="0" borderId="0" xfId="0"/>
    <xf numFmtId="0" fontId="2" fillId="0" borderId="0" xfId="0" applyFont="1"/>
    <xf numFmtId="0" fontId="3" fillId="0" borderId="0" xfId="2"/>
    <xf numFmtId="164" fontId="0" fillId="0" borderId="0" xfId="0" applyNumberFormat="1"/>
    <xf numFmtId="165" fontId="0" fillId="0" borderId="0" xfId="0" applyNumberFormat="1"/>
    <xf numFmtId="10" fontId="0" fillId="0" borderId="0" xfId="0" applyNumberFormat="1"/>
    <xf numFmtId="2" fontId="0" fillId="0" borderId="0" xfId="0" applyNumberFormat="1"/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0" fillId="3" borderId="2" xfId="0" applyFill="1" applyBorder="1"/>
    <xf numFmtId="0" fontId="0" fillId="2" borderId="2" xfId="0" applyFill="1" applyBorder="1"/>
    <xf numFmtId="9" fontId="0" fillId="0" borderId="0" xfId="1" applyFont="1" applyAlignment="1">
      <alignment horizontal="left"/>
    </xf>
    <xf numFmtId="0" fontId="5" fillId="0" borderId="0" xfId="0" applyFont="1"/>
    <xf numFmtId="166" fontId="0" fillId="0" borderId="0" xfId="3" applyNumberFormat="1" applyFont="1" applyAlignment="1">
      <alignment horizontal="left"/>
    </xf>
    <xf numFmtId="0" fontId="2" fillId="0" borderId="0" xfId="0" applyFont="1" applyAlignment="1">
      <alignment horizontal="left"/>
    </xf>
    <xf numFmtId="0" fontId="7" fillId="0" borderId="0" xfId="0" applyFont="1"/>
    <xf numFmtId="0" fontId="2" fillId="0" borderId="9" xfId="0" applyFont="1" applyBorder="1"/>
    <xf numFmtId="0" fontId="2" fillId="0" borderId="11" xfId="0" applyFont="1" applyBorder="1"/>
    <xf numFmtId="9" fontId="0" fillId="0" borderId="12" xfId="1" applyFont="1" applyBorder="1"/>
    <xf numFmtId="0" fontId="0" fillId="0" borderId="15" xfId="0" applyBorder="1"/>
    <xf numFmtId="2" fontId="0" fillId="0" borderId="16" xfId="0" applyNumberFormat="1" applyBorder="1"/>
    <xf numFmtId="10" fontId="0" fillId="0" borderId="16" xfId="1" applyNumberFormat="1" applyFont="1" applyBorder="1"/>
    <xf numFmtId="9" fontId="0" fillId="0" borderId="17" xfId="1" applyFont="1" applyBorder="1"/>
    <xf numFmtId="0" fontId="0" fillId="0" borderId="13" xfId="0" applyBorder="1"/>
    <xf numFmtId="2" fontId="0" fillId="0" borderId="18" xfId="0" applyNumberFormat="1" applyBorder="1"/>
    <xf numFmtId="10" fontId="0" fillId="0" borderId="18" xfId="1" applyNumberFormat="1" applyFont="1" applyBorder="1"/>
    <xf numFmtId="9" fontId="0" fillId="0" borderId="14" xfId="1" applyFont="1" applyBorder="1"/>
    <xf numFmtId="0" fontId="0" fillId="0" borderId="11" xfId="0" applyBorder="1"/>
    <xf numFmtId="2" fontId="0" fillId="0" borderId="19" xfId="0" applyNumberFormat="1" applyBorder="1"/>
    <xf numFmtId="10" fontId="0" fillId="0" borderId="19" xfId="1" applyNumberFormat="1" applyFont="1" applyBorder="1"/>
    <xf numFmtId="0" fontId="2" fillId="0" borderId="20" xfId="0" applyFont="1" applyBorder="1"/>
    <xf numFmtId="0" fontId="2" fillId="0" borderId="21" xfId="0" applyFont="1" applyBorder="1"/>
    <xf numFmtId="0" fontId="2" fillId="0" borderId="22" xfId="0" applyFont="1" applyBorder="1"/>
    <xf numFmtId="2" fontId="0" fillId="0" borderId="10" xfId="0" applyNumberFormat="1" applyBorder="1" applyAlignment="1">
      <alignment horizontal="left"/>
    </xf>
    <xf numFmtId="2" fontId="0" fillId="0" borderId="12" xfId="0" applyNumberFormat="1" applyBorder="1" applyAlignment="1">
      <alignment horizontal="left"/>
    </xf>
    <xf numFmtId="9" fontId="0" fillId="0" borderId="12" xfId="1" applyFont="1" applyBorder="1" applyAlignment="1">
      <alignment horizontal="left"/>
    </xf>
    <xf numFmtId="0" fontId="2" fillId="3" borderId="1" xfId="0" applyFont="1" applyFill="1" applyBorder="1" applyAlignment="1">
      <alignment horizontal="left"/>
    </xf>
    <xf numFmtId="0" fontId="2" fillId="3" borderId="0" xfId="0" applyFont="1" applyFill="1" applyBorder="1" applyAlignment="1">
      <alignment horizontal="left"/>
    </xf>
    <xf numFmtId="2" fontId="0" fillId="3" borderId="0" xfId="0" applyNumberFormat="1" applyFill="1" applyBorder="1" applyAlignment="1">
      <alignment horizontal="left"/>
    </xf>
    <xf numFmtId="10" fontId="0" fillId="2" borderId="0" xfId="0" applyNumberFormat="1" applyFill="1" applyBorder="1" applyAlignment="1">
      <alignment horizontal="left"/>
    </xf>
    <xf numFmtId="165" fontId="0" fillId="3" borderId="0" xfId="0" applyNumberFormat="1" applyFill="1" applyBorder="1" applyAlignment="1">
      <alignment horizontal="left"/>
    </xf>
    <xf numFmtId="10" fontId="0" fillId="3" borderId="0" xfId="0" applyNumberFormat="1" applyFill="1" applyBorder="1" applyAlignment="1">
      <alignment horizontal="left"/>
    </xf>
    <xf numFmtId="165" fontId="4" fillId="0" borderId="6" xfId="0" applyNumberFormat="1" applyFont="1" applyBorder="1" applyAlignment="1">
      <alignment horizontal="center"/>
    </xf>
    <xf numFmtId="165" fontId="4" fillId="0" borderId="7" xfId="0" applyNumberFormat="1" applyFont="1" applyBorder="1" applyAlignment="1">
      <alignment horizontal="center"/>
    </xf>
    <xf numFmtId="165" fontId="4" fillId="0" borderId="8" xfId="0" applyNumberFormat="1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left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0" fillId="2" borderId="23" xfId="0" applyFill="1" applyBorder="1" applyAlignment="1">
      <alignment horizontal="left"/>
    </xf>
    <xf numFmtId="0" fontId="0" fillId="2" borderId="24" xfId="0" applyFill="1" applyBorder="1" applyAlignment="1">
      <alignment horizontal="left"/>
    </xf>
    <xf numFmtId="10" fontId="0" fillId="0" borderId="12" xfId="0" applyNumberFormat="1" applyBorder="1" applyAlignment="1">
      <alignment horizontal="left"/>
    </xf>
    <xf numFmtId="0" fontId="2" fillId="0" borderId="13" xfId="0" applyFont="1" applyFill="1" applyBorder="1"/>
    <xf numFmtId="14" fontId="0" fillId="0" borderId="14" xfId="0" applyNumberFormat="1" applyBorder="1" applyAlignment="1">
      <alignment horizontal="left"/>
    </xf>
  </cellXfs>
  <cellStyles count="4">
    <cellStyle name="Currency" xfId="3" builtinId="4"/>
    <cellStyle name="Hyperlink" xfId="2" builtinId="8"/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0EE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7</xdr:row>
          <xdr:rowOff>120650</xdr:rowOff>
        </xdr:from>
        <xdr:to>
          <xdr:col>3</xdr:col>
          <xdr:colOff>0</xdr:colOff>
          <xdr:row>10</xdr:row>
          <xdr:rowOff>171450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Portfolio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 press ctrl+shift+Z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962CF-3ADD-48C7-8496-E8CD41113D1F}">
  <sheetPr codeName="Sheet2">
    <tabColor theme="0" tint="-0.14999847407452621"/>
  </sheetPr>
  <dimension ref="A1:D16"/>
  <sheetViews>
    <sheetView workbookViewId="0">
      <selection activeCell="N34" sqref="N34"/>
    </sheetView>
  </sheetViews>
  <sheetFormatPr defaultRowHeight="14.5" x14ac:dyDescent="0.35"/>
  <cols>
    <col min="1" max="1" width="19.6328125" customWidth="1"/>
    <col min="2" max="2" width="12" style="7" customWidth="1"/>
    <col min="3" max="3" width="3.36328125" customWidth="1"/>
  </cols>
  <sheetData>
    <row r="1" spans="1:4" x14ac:dyDescent="0.35">
      <c r="A1" s="1" t="s">
        <v>47</v>
      </c>
      <c r="B1" s="7">
        <v>6</v>
      </c>
      <c r="D1" s="1" t="s">
        <v>42</v>
      </c>
    </row>
    <row r="2" spans="1:4" x14ac:dyDescent="0.35">
      <c r="A2" s="1" t="s">
        <v>27</v>
      </c>
      <c r="B2" s="7" t="s">
        <v>14</v>
      </c>
      <c r="D2" t="s">
        <v>14</v>
      </c>
    </row>
    <row r="3" spans="1:4" x14ac:dyDescent="0.35">
      <c r="A3" s="1" t="s">
        <v>28</v>
      </c>
      <c r="B3" s="8">
        <v>90</v>
      </c>
      <c r="D3" t="s">
        <v>2</v>
      </c>
    </row>
    <row r="4" spans="1:4" x14ac:dyDescent="0.35">
      <c r="A4" s="1" t="s">
        <v>37</v>
      </c>
      <c r="B4" s="13">
        <v>3000000</v>
      </c>
      <c r="D4" t="s">
        <v>3</v>
      </c>
    </row>
    <row r="5" spans="1:4" x14ac:dyDescent="0.35">
      <c r="A5" s="1" t="s">
        <v>35</v>
      </c>
      <c r="B5" s="7">
        <v>2</v>
      </c>
      <c r="D5" t="s">
        <v>4</v>
      </c>
    </row>
    <row r="6" spans="1:4" x14ac:dyDescent="0.35">
      <c r="A6" s="1" t="s">
        <v>36</v>
      </c>
      <c r="B6" s="7">
        <v>0.7</v>
      </c>
      <c r="D6" t="s">
        <v>5</v>
      </c>
    </row>
    <row r="7" spans="1:4" x14ac:dyDescent="0.35">
      <c r="A7" s="1" t="s">
        <v>41</v>
      </c>
      <c r="B7" s="11">
        <v>0.05</v>
      </c>
      <c r="D7" t="s">
        <v>6</v>
      </c>
    </row>
    <row r="8" spans="1:4" x14ac:dyDescent="0.35">
      <c r="A8" s="1"/>
      <c r="D8" t="s">
        <v>7</v>
      </c>
    </row>
    <row r="9" spans="1:4" x14ac:dyDescent="0.35">
      <c r="A9" s="1"/>
      <c r="D9" t="s">
        <v>8</v>
      </c>
    </row>
    <row r="10" spans="1:4" x14ac:dyDescent="0.35">
      <c r="A10" s="1"/>
      <c r="D10" t="s">
        <v>9</v>
      </c>
    </row>
    <row r="11" spans="1:4" x14ac:dyDescent="0.35">
      <c r="A11" s="1"/>
      <c r="D11" t="s">
        <v>10</v>
      </c>
    </row>
    <row r="12" spans="1:4" x14ac:dyDescent="0.35">
      <c r="A12" s="1"/>
      <c r="D12" t="s">
        <v>11</v>
      </c>
    </row>
    <row r="13" spans="1:4" x14ac:dyDescent="0.35">
      <c r="A13" s="1"/>
      <c r="D13" t="s">
        <v>12</v>
      </c>
    </row>
    <row r="14" spans="1:4" x14ac:dyDescent="0.35">
      <c r="A14" s="1"/>
      <c r="D14" t="s">
        <v>23</v>
      </c>
    </row>
    <row r="15" spans="1:4" x14ac:dyDescent="0.35">
      <c r="A15" s="1"/>
      <c r="D15" t="s">
        <v>24</v>
      </c>
    </row>
    <row r="16" spans="1:4" x14ac:dyDescent="0.35">
      <c r="A16" s="1"/>
      <c r="D16" t="s">
        <v>44</v>
      </c>
    </row>
  </sheetData>
  <dataConsolidate/>
  <dataValidations count="2">
    <dataValidation type="list" allowBlank="1" showInputMessage="1" showErrorMessage="1" sqref="B2" xr:uid="{66B989D5-7276-4AB4-A713-E457F6A37544}">
      <formula1>$D$2:$D$99</formula1>
    </dataValidation>
    <dataValidation type="whole" allowBlank="1" showInputMessage="1" showErrorMessage="1" errorTitle="Out of Range" error="Value is outside of range (30 - 120) or not a whole number" prompt="Input whole number between 30 and 120" sqref="B3" xr:uid="{2EAEE404-9885-4414-8756-C0CCA1A7A1E6}">
      <formula1>30</formula1>
      <formula2>120</formula2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86092-657F-4A72-9A61-EBBE4E7C1B16}">
  <sheetPr codeName="Sheet1">
    <tabColor theme="4" tint="0.59999389629810485"/>
  </sheetPr>
  <dimension ref="A1:U27"/>
  <sheetViews>
    <sheetView showGridLines="0" tabSelected="1" zoomScaleNormal="100" workbookViewId="0">
      <selection activeCell="I29" sqref="I29"/>
    </sheetView>
  </sheetViews>
  <sheetFormatPr defaultRowHeight="14.5" x14ac:dyDescent="0.35"/>
  <cols>
    <col min="2" max="2" width="11.54296875" customWidth="1"/>
    <col min="3" max="3" width="12" customWidth="1"/>
    <col min="5" max="5" width="9.90625" customWidth="1"/>
    <col min="6" max="6" width="6.453125" customWidth="1"/>
    <col min="7" max="7" width="6.54296875" customWidth="1"/>
    <col min="8" max="8" width="9.7265625" customWidth="1"/>
    <col min="9" max="9" width="5.6328125" customWidth="1"/>
    <col min="11" max="11" width="10.1796875" customWidth="1"/>
    <col min="12" max="12" width="5.1796875" customWidth="1"/>
    <col min="13" max="13" width="5.6328125" customWidth="1"/>
    <col min="14" max="14" width="8.54296875" customWidth="1"/>
    <col min="15" max="15" width="5.1796875" customWidth="1"/>
    <col min="17" max="17" width="8.54296875" customWidth="1"/>
    <col min="18" max="18" width="7.26953125" customWidth="1"/>
    <col min="19" max="19" width="6.26953125" customWidth="1"/>
    <col min="20" max="20" width="8.6328125" customWidth="1"/>
    <col min="21" max="21" width="6" customWidth="1"/>
  </cols>
  <sheetData>
    <row r="1" spans="1:21" ht="15" thickBot="1" x14ac:dyDescent="0.4">
      <c r="A1" s="3"/>
      <c r="B1" s="3"/>
      <c r="C1" s="3"/>
      <c r="P1" s="3"/>
    </row>
    <row r="2" spans="1:21" ht="19" thickBot="1" x14ac:dyDescent="0.5">
      <c r="B2" s="45" t="s">
        <v>33</v>
      </c>
      <c r="C2" s="46"/>
      <c r="D2" s="12"/>
      <c r="E2" s="42" t="s">
        <v>45</v>
      </c>
      <c r="F2" s="43"/>
      <c r="G2" s="43"/>
      <c r="H2" s="43"/>
      <c r="I2" s="44"/>
      <c r="J2" s="12"/>
      <c r="K2" s="42" t="s">
        <v>46</v>
      </c>
      <c r="L2" s="43"/>
      <c r="M2" s="43"/>
      <c r="N2" s="43"/>
      <c r="O2" s="44"/>
      <c r="Q2" s="42" t="s">
        <v>32</v>
      </c>
      <c r="R2" s="43"/>
      <c r="S2" s="43"/>
      <c r="T2" s="43"/>
      <c r="U2" s="44"/>
    </row>
    <row r="3" spans="1:21" x14ac:dyDescent="0.35">
      <c r="B3" s="16" t="s">
        <v>1</v>
      </c>
      <c r="C3" s="33">
        <f>(G6*G4)+(M6*M4)+(S6*S4)/3</f>
        <v>0.10914262831085418</v>
      </c>
      <c r="E3" s="47" t="s">
        <v>0</v>
      </c>
      <c r="F3" s="48"/>
      <c r="G3" s="52" t="s">
        <v>45</v>
      </c>
      <c r="H3" s="52"/>
      <c r="I3" s="53"/>
      <c r="K3" s="47" t="s">
        <v>0</v>
      </c>
      <c r="L3" s="48"/>
      <c r="M3" s="52" t="s">
        <v>46</v>
      </c>
      <c r="N3" s="52"/>
      <c r="O3" s="53"/>
      <c r="Q3" s="47" t="s">
        <v>0</v>
      </c>
      <c r="R3" s="48"/>
      <c r="S3" s="52" t="s">
        <v>15</v>
      </c>
      <c r="T3" s="52"/>
      <c r="U3" s="53"/>
    </row>
    <row r="4" spans="1:21" x14ac:dyDescent="0.35">
      <c r="B4" s="17" t="s">
        <v>34</v>
      </c>
      <c r="C4" s="34">
        <f>(G7*G4)+(M7*M4)+(S7*S4)/3</f>
        <v>4.2850231618800451E-2</v>
      </c>
      <c r="E4" s="47" t="s">
        <v>38</v>
      </c>
      <c r="F4" s="48"/>
      <c r="G4" s="39">
        <v>0.83299999999999996</v>
      </c>
      <c r="H4" s="39"/>
      <c r="I4" s="10"/>
      <c r="K4" s="47" t="s">
        <v>38</v>
      </c>
      <c r="L4" s="48"/>
      <c r="M4" s="39">
        <v>8.3500000000000005E-2</v>
      </c>
      <c r="N4" s="39"/>
      <c r="O4" s="10"/>
      <c r="Q4" s="47" t="s">
        <v>38</v>
      </c>
      <c r="R4" s="48"/>
      <c r="S4" s="39">
        <v>8.3500000000000005E-2</v>
      </c>
      <c r="T4" s="39"/>
      <c r="U4" s="10"/>
    </row>
    <row r="5" spans="1:21" x14ac:dyDescent="0.35">
      <c r="B5" s="17" t="s">
        <v>30</v>
      </c>
      <c r="C5" s="35">
        <f>(G8*G4)+(M8*M4)+(S8*S4)/3</f>
        <v>0.1666</v>
      </c>
      <c r="E5" s="36" t="s">
        <v>39</v>
      </c>
      <c r="F5" s="37"/>
      <c r="G5" s="40">
        <f>G4*AppSettings!B4</f>
        <v>2499000</v>
      </c>
      <c r="H5" s="40"/>
      <c r="I5" s="9"/>
      <c r="K5" s="36" t="s">
        <v>39</v>
      </c>
      <c r="L5" s="37"/>
      <c r="M5" s="40">
        <f>M4*AppSettings!B4</f>
        <v>250500</v>
      </c>
      <c r="N5" s="40"/>
      <c r="O5" s="9"/>
      <c r="Q5" s="36" t="s">
        <v>39</v>
      </c>
      <c r="R5" s="37"/>
      <c r="S5" s="40">
        <f>S4*AppSettings!B4</f>
        <v>250500</v>
      </c>
      <c r="T5" s="40"/>
      <c r="U5" s="9"/>
    </row>
    <row r="6" spans="1:21" x14ac:dyDescent="0.35">
      <c r="B6" s="17" t="s">
        <v>29</v>
      </c>
      <c r="C6" s="54">
        <f>SUM(S4,G4,M4)</f>
        <v>1</v>
      </c>
      <c r="E6" s="36" t="s">
        <v>25</v>
      </c>
      <c r="F6" s="37"/>
      <c r="G6" s="38">
        <f>SUMPRODUCT(F12:F22,H12:H22)/SUM(H12:H22)</f>
        <v>-8.7784282046412935E-4</v>
      </c>
      <c r="H6" s="38"/>
      <c r="I6" s="9"/>
      <c r="K6" s="36" t="s">
        <v>25</v>
      </c>
      <c r="L6" s="37"/>
      <c r="M6" s="38">
        <f>SUMPRODUCT(L12:L22,N12:N22)/SUM(N12:N22)</f>
        <v>1.0000000000000004</v>
      </c>
      <c r="N6" s="38"/>
      <c r="O6" s="9"/>
      <c r="Q6" s="36" t="s">
        <v>25</v>
      </c>
      <c r="R6" s="37"/>
      <c r="S6" s="38">
        <f>SUMPRODUCT(R12:R22,T12:T22)/SUM(T12:T22)</f>
        <v>0.94756424120841032</v>
      </c>
      <c r="T6" s="38"/>
      <c r="U6" s="9"/>
    </row>
    <row r="7" spans="1:21" ht="15" thickBot="1" x14ac:dyDescent="0.4">
      <c r="B7" s="55" t="s">
        <v>48</v>
      </c>
      <c r="C7" s="56">
        <v>44139</v>
      </c>
      <c r="E7" s="36" t="s">
        <v>26</v>
      </c>
      <c r="F7" s="37"/>
      <c r="G7" s="38">
        <f>SUMPRODUCT(G12:G22,H12:H22)/SUM(H12:H22)</f>
        <v>-6.6497308967398264E-2</v>
      </c>
      <c r="H7" s="38"/>
      <c r="I7" s="9"/>
      <c r="K7" s="36" t="s">
        <v>26</v>
      </c>
      <c r="L7" s="37"/>
      <c r="M7" s="38">
        <f>SUMPRODUCT(M12:M22,N12:N22)/SUM(N12:N22)</f>
        <v>0.99999999999999989</v>
      </c>
      <c r="N7" s="38"/>
      <c r="O7" s="9"/>
      <c r="Q7" s="36" t="s">
        <v>26</v>
      </c>
      <c r="R7" s="37"/>
      <c r="S7" s="38">
        <f>SUMPRODUCT(S12:S22,T12:T22)/SUM(T12:T22)</f>
        <v>0.52967029899316942</v>
      </c>
      <c r="T7" s="38"/>
      <c r="U7" s="9"/>
    </row>
    <row r="8" spans="1:21" x14ac:dyDescent="0.35">
      <c r="E8" s="36" t="s">
        <v>31</v>
      </c>
      <c r="F8" s="37"/>
      <c r="G8" s="41">
        <f>SUMPRODUCT(I12:I22,H12:H22)/SUM(H12:H22)</f>
        <v>0.2</v>
      </c>
      <c r="H8" s="41"/>
      <c r="I8" s="9"/>
      <c r="K8" s="36" t="s">
        <v>31</v>
      </c>
      <c r="L8" s="37"/>
      <c r="M8" s="41">
        <f>SUMPRODUCT(O12:O22,N12:N22)/SUM(N12:N22)</f>
        <v>0</v>
      </c>
      <c r="N8" s="41"/>
      <c r="O8" s="9"/>
      <c r="Q8" s="36" t="s">
        <v>31</v>
      </c>
      <c r="R8" s="37"/>
      <c r="S8" s="41">
        <f>SUMPRODUCT(U12:U22,T12:T22)/SUM(T12:T22)</f>
        <v>0</v>
      </c>
      <c r="T8" s="41"/>
      <c r="U8" s="9"/>
    </row>
    <row r="9" spans="1:21" x14ac:dyDescent="0.35">
      <c r="E9" s="36" t="s">
        <v>29</v>
      </c>
      <c r="F9" s="37"/>
      <c r="G9" s="41">
        <f>SUM(H12:H22)</f>
        <v>1</v>
      </c>
      <c r="H9" s="41"/>
      <c r="I9" s="9"/>
      <c r="K9" s="36" t="s">
        <v>29</v>
      </c>
      <c r="L9" s="37"/>
      <c r="M9" s="41">
        <f>SUM(N12:N22)</f>
        <v>1</v>
      </c>
      <c r="N9" s="41"/>
      <c r="O9" s="9"/>
      <c r="Q9" s="36" t="s">
        <v>29</v>
      </c>
      <c r="R9" s="37"/>
      <c r="S9" s="41">
        <f>SUM(T12:T22)</f>
        <v>0.99929999999999997</v>
      </c>
      <c r="T9" s="41"/>
      <c r="U9" s="9"/>
    </row>
    <row r="10" spans="1:21" ht="15" thickBot="1" x14ac:dyDescent="0.4">
      <c r="E10" s="49" t="s">
        <v>22</v>
      </c>
      <c r="F10" s="50"/>
      <c r="G10" s="50"/>
      <c r="H10" s="50"/>
      <c r="I10" s="51"/>
      <c r="K10" s="49" t="s">
        <v>22</v>
      </c>
      <c r="L10" s="50"/>
      <c r="M10" s="50"/>
      <c r="N10" s="50"/>
      <c r="O10" s="51"/>
      <c r="Q10" s="49" t="s">
        <v>22</v>
      </c>
      <c r="R10" s="50"/>
      <c r="S10" s="50"/>
      <c r="T10" s="50"/>
      <c r="U10" s="51"/>
    </row>
    <row r="11" spans="1:21" ht="15" thickBot="1" x14ac:dyDescent="0.4">
      <c r="E11" s="30" t="s">
        <v>13</v>
      </c>
      <c r="F11" s="31" t="s">
        <v>1</v>
      </c>
      <c r="G11" s="31" t="s">
        <v>34</v>
      </c>
      <c r="H11" s="31" t="s">
        <v>40</v>
      </c>
      <c r="I11" s="32" t="s">
        <v>30</v>
      </c>
      <c r="K11" s="30" t="s">
        <v>13</v>
      </c>
      <c r="L11" s="31" t="s">
        <v>1</v>
      </c>
      <c r="M11" s="31" t="s">
        <v>34</v>
      </c>
      <c r="N11" s="31" t="s">
        <v>40</v>
      </c>
      <c r="O11" s="32" t="s">
        <v>30</v>
      </c>
      <c r="Q11" s="30" t="s">
        <v>13</v>
      </c>
      <c r="R11" s="31" t="s">
        <v>1</v>
      </c>
      <c r="S11" s="31" t="s">
        <v>34</v>
      </c>
      <c r="T11" s="31" t="s">
        <v>40</v>
      </c>
      <c r="U11" s="32" t="s">
        <v>30</v>
      </c>
    </row>
    <row r="12" spans="1:21" x14ac:dyDescent="0.35">
      <c r="E12" s="19" t="s">
        <v>44</v>
      </c>
      <c r="F12" s="20">
        <f>SymbolData!B16</f>
        <v>-8.7784282046412935E-4</v>
      </c>
      <c r="G12" s="20">
        <f>SymbolData!C16</f>
        <v>-6.6497308967398264E-2</v>
      </c>
      <c r="H12" s="21">
        <v>1</v>
      </c>
      <c r="I12" s="22">
        <v>0.2</v>
      </c>
      <c r="K12" s="19" t="s">
        <v>14</v>
      </c>
      <c r="L12" s="20">
        <f>SymbolData!B2</f>
        <v>1.0000000000000004</v>
      </c>
      <c r="M12" s="20">
        <f>SymbolData!C2</f>
        <v>0.99999999999999989</v>
      </c>
      <c r="N12" s="21">
        <v>1</v>
      </c>
      <c r="O12" s="22">
        <v>0</v>
      </c>
      <c r="Q12" s="19" t="s">
        <v>2</v>
      </c>
      <c r="R12" s="20">
        <f>SymbolData!B3</f>
        <v>0.94477290748131648</v>
      </c>
      <c r="S12" s="20">
        <f>SymbolData!C3</f>
        <v>0.75970944030515442</v>
      </c>
      <c r="T12" s="21">
        <v>0.1681</v>
      </c>
      <c r="U12" s="22">
        <v>0</v>
      </c>
    </row>
    <row r="13" spans="1:21" ht="15" thickBot="1" x14ac:dyDescent="0.4">
      <c r="E13" s="23"/>
      <c r="F13" s="24"/>
      <c r="G13" s="24"/>
      <c r="H13" s="25"/>
      <c r="I13" s="26"/>
      <c r="K13" s="23"/>
      <c r="L13" s="24"/>
      <c r="M13" s="24"/>
      <c r="N13" s="25"/>
      <c r="O13" s="26"/>
      <c r="Q13" s="27" t="s">
        <v>3</v>
      </c>
      <c r="R13" s="28">
        <f>SymbolData!B4</f>
        <v>0.55384908714090553</v>
      </c>
      <c r="S13" s="28">
        <f>SymbolData!C4</f>
        <v>0.47722936863010368</v>
      </c>
      <c r="T13" s="29">
        <v>0.1381</v>
      </c>
      <c r="U13" s="18">
        <v>0</v>
      </c>
    </row>
    <row r="14" spans="1:21" x14ac:dyDescent="0.35">
      <c r="Q14" s="27" t="s">
        <v>4</v>
      </c>
      <c r="R14" s="28">
        <f>SymbolData!B5</f>
        <v>1.2077224101660249</v>
      </c>
      <c r="S14" s="28">
        <f>SymbolData!C5</f>
        <v>0.58952358087364454</v>
      </c>
      <c r="T14" s="29">
        <v>0.1183</v>
      </c>
      <c r="U14" s="18">
        <v>0</v>
      </c>
    </row>
    <row r="15" spans="1:21" x14ac:dyDescent="0.35">
      <c r="Q15" s="27" t="s">
        <v>5</v>
      </c>
      <c r="R15" s="28">
        <f>SymbolData!B6</f>
        <v>0.6049544825619384</v>
      </c>
      <c r="S15" s="28">
        <f>SymbolData!C6</f>
        <v>0.26801677343159042</v>
      </c>
      <c r="T15" s="29">
        <v>0.1164</v>
      </c>
      <c r="U15" s="18">
        <v>0</v>
      </c>
    </row>
    <row r="16" spans="1:21" x14ac:dyDescent="0.35">
      <c r="Q16" s="27" t="s">
        <v>6</v>
      </c>
      <c r="R16" s="28">
        <f>SymbolData!B7</f>
        <v>1.2862144264660238</v>
      </c>
      <c r="S16" s="28">
        <f>SymbolData!C7</f>
        <v>0.38324299870302836</v>
      </c>
      <c r="T16" s="29">
        <v>0.11020000000000001</v>
      </c>
      <c r="U16" s="18">
        <v>0</v>
      </c>
    </row>
    <row r="17" spans="2:21" x14ac:dyDescent="0.35">
      <c r="Q17" s="27" t="s">
        <v>7</v>
      </c>
      <c r="R17" s="28">
        <f>SymbolData!B8</f>
        <v>0.93794041823454333</v>
      </c>
      <c r="S17" s="28">
        <f>SymbolData!C8</f>
        <v>0.59882882380274682</v>
      </c>
      <c r="T17" s="29">
        <v>0.108</v>
      </c>
      <c r="U17" s="18">
        <v>0</v>
      </c>
    </row>
    <row r="18" spans="2:21" x14ac:dyDescent="0.35">
      <c r="Q18" s="27" t="s">
        <v>8</v>
      </c>
      <c r="R18" s="28">
        <f>SymbolData!B9</f>
        <v>1.32329070472577</v>
      </c>
      <c r="S18" s="28">
        <f>SymbolData!C9</f>
        <v>0.48009485159513987</v>
      </c>
      <c r="T18" s="29">
        <v>8.0100000000000005E-2</v>
      </c>
      <c r="U18" s="18">
        <v>0</v>
      </c>
    </row>
    <row r="19" spans="2:21" x14ac:dyDescent="0.35">
      <c r="Q19" s="27" t="s">
        <v>9</v>
      </c>
      <c r="R19" s="28">
        <f>SymbolData!B10</f>
        <v>1.0214300098481719</v>
      </c>
      <c r="S19" s="28">
        <f>SymbolData!C10</f>
        <v>0.58696173526137074</v>
      </c>
      <c r="T19" s="29">
        <v>5.8099999999999999E-2</v>
      </c>
      <c r="U19" s="18">
        <v>0</v>
      </c>
    </row>
    <row r="20" spans="2:21" x14ac:dyDescent="0.35">
      <c r="Q20" s="27" t="s">
        <v>10</v>
      </c>
      <c r="R20" s="28">
        <f>SymbolData!B11</f>
        <v>0.9372466895426298</v>
      </c>
      <c r="S20" s="28">
        <f>SymbolData!C11</f>
        <v>0.74037563212554169</v>
      </c>
      <c r="T20" s="29">
        <v>5.2900000000000003E-2</v>
      </c>
      <c r="U20" s="18">
        <v>0</v>
      </c>
    </row>
    <row r="21" spans="2:21" x14ac:dyDescent="0.35">
      <c r="Q21" s="27" t="s">
        <v>11</v>
      </c>
      <c r="R21" s="28">
        <f>SymbolData!B12</f>
        <v>1.2509638538306809</v>
      </c>
      <c r="S21" s="28">
        <f>SymbolData!C12</f>
        <v>0.46232481850809631</v>
      </c>
      <c r="T21" s="29">
        <v>2.7099999999999999E-2</v>
      </c>
      <c r="U21" s="18">
        <v>0</v>
      </c>
    </row>
    <row r="22" spans="2:21" ht="15" thickBot="1" x14ac:dyDescent="0.4">
      <c r="Q22" s="23" t="s">
        <v>12</v>
      </c>
      <c r="R22" s="24">
        <f>SymbolData!B13</f>
        <v>0.29305747103316215</v>
      </c>
      <c r="S22" s="24">
        <f>SymbolData!C13</f>
        <v>0.16315298344244414</v>
      </c>
      <c r="T22" s="25">
        <v>2.1999999999999999E-2</v>
      </c>
      <c r="U22" s="26">
        <v>0</v>
      </c>
    </row>
    <row r="23" spans="2:21" x14ac:dyDescent="0.35">
      <c r="Q23" s="2"/>
    </row>
    <row r="27" spans="2:21" x14ac:dyDescent="0.35">
      <c r="B27" s="15"/>
    </row>
  </sheetData>
  <mergeCells count="49">
    <mergeCell ref="S3:U3"/>
    <mergeCell ref="G3:I3"/>
    <mergeCell ref="M9:N9"/>
    <mergeCell ref="Q10:U10"/>
    <mergeCell ref="K10:O10"/>
    <mergeCell ref="M6:N6"/>
    <mergeCell ref="K7:L7"/>
    <mergeCell ref="M7:N7"/>
    <mergeCell ref="K8:L8"/>
    <mergeCell ref="M8:N8"/>
    <mergeCell ref="G8:H8"/>
    <mergeCell ref="G9:H9"/>
    <mergeCell ref="K5:L5"/>
    <mergeCell ref="K6:L6"/>
    <mergeCell ref="K9:L9"/>
    <mergeCell ref="E10:I10"/>
    <mergeCell ref="M3:O3"/>
    <mergeCell ref="E8:F8"/>
    <mergeCell ref="E9:F9"/>
    <mergeCell ref="K2:O2"/>
    <mergeCell ref="B2:C2"/>
    <mergeCell ref="Q4:R4"/>
    <mergeCell ref="Q3:R3"/>
    <mergeCell ref="Q5:R5"/>
    <mergeCell ref="Q2:U2"/>
    <mergeCell ref="E2:I2"/>
    <mergeCell ref="E3:F3"/>
    <mergeCell ref="E4:F4"/>
    <mergeCell ref="G4:H4"/>
    <mergeCell ref="E5:F5"/>
    <mergeCell ref="G5:H5"/>
    <mergeCell ref="M4:N4"/>
    <mergeCell ref="M5:N5"/>
    <mergeCell ref="K3:L3"/>
    <mergeCell ref="K4:L4"/>
    <mergeCell ref="Q8:R8"/>
    <mergeCell ref="Q9:R9"/>
    <mergeCell ref="S4:T4"/>
    <mergeCell ref="S5:T5"/>
    <mergeCell ref="S6:T6"/>
    <mergeCell ref="S7:T7"/>
    <mergeCell ref="S8:T8"/>
    <mergeCell ref="S9:T9"/>
    <mergeCell ref="E6:F6"/>
    <mergeCell ref="G6:H6"/>
    <mergeCell ref="E7:F7"/>
    <mergeCell ref="Q6:R6"/>
    <mergeCell ref="Q7:R7"/>
    <mergeCell ref="G7:H7"/>
  </mergeCells>
  <conditionalFormatting sqref="C6">
    <cfRule type="cellIs" dxfId="11" priority="5" operator="equal">
      <formula>1</formula>
    </cfRule>
    <cfRule type="cellIs" dxfId="10" priority="6" operator="greaterThan">
      <formula>1</formula>
    </cfRule>
    <cfRule type="cellIs" dxfId="9" priority="13" operator="lessThan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tAllData">
                <anchor moveWithCells="1" sizeWithCells="1">
                  <from>
                    <xdr:col>0</xdr:col>
                    <xdr:colOff>590550</xdr:colOff>
                    <xdr:row>7</xdr:row>
                    <xdr:rowOff>120650</xdr:rowOff>
                  </from>
                  <to>
                    <xdr:col>3</xdr:col>
                    <xdr:colOff>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941EC451-1485-4F57-BC35-9167943468F6}">
            <xm:f>AppSettings!$B$7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8" operator="greaterThan" id="{FCA4E5E4-6BC1-4BF0-BC2C-3088364E64E1}">
            <xm:f>AppSettings!$B$7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C5</xm:sqref>
        </x14:conditionalFormatting>
        <x14:conditionalFormatting xmlns:xm="http://schemas.microsoft.com/office/excel/2006/main">
          <x14:cfRule type="cellIs" priority="2" operator="equal" id="{18B75187-0975-4DA2-A6EE-2EC834D338A2}">
            <xm:f>AppSettings!$B$5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0" operator="lessThan" id="{0ADA33AA-F24F-482F-ABED-C744D41D617F}">
            <xm:f>AppSettings!$B$5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operator="greaterThan" id="{E1A8CC27-38BC-4018-9B9F-467D8A59AA22}">
            <xm:f>AppSettings!$B$5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C3</xm:sqref>
        </x14:conditionalFormatting>
        <x14:conditionalFormatting xmlns:xm="http://schemas.microsoft.com/office/excel/2006/main">
          <x14:cfRule type="cellIs" priority="1" operator="equal" id="{2AD5CC18-4105-4749-8454-011A5DE81125}">
            <xm:f>AppSettings!$B$6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9" operator="lessThan" id="{8829B939-4046-4697-AA2C-F6F1B0927E31}">
            <xm:f>AppSettings!$B$6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1" operator="greaterThan" id="{BDB5D7F6-17FC-4666-9BD2-A2F2DAA30B1F}">
            <xm:f>AppSettings!$B$6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C4</xm:sqref>
        </x14:conditionalFormatting>
        <x14:conditionalFormatting xmlns:xm="http://schemas.microsoft.com/office/excel/2006/main">
          <x14:cfRule type="cellIs" priority="7" operator="lessThan" id="{2A24BD22-88A2-4C39-821A-C2D2EC144087}">
            <xm:f>AppSettings!$B$7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2391FAE-16AB-407F-A20E-6E9146A22FAD}">
          <x14:formula1>
            <xm:f>AppSettings!$D$2:$D$99</xm:f>
          </x14:formula1>
          <xm:sqref>Q12:Q22 E12:E13 K12:K13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0DDBA-5C5B-4EA0-AB9C-7239AD91A967}">
  <sheetPr codeName="Sheet6">
    <tabColor theme="9" tint="0.59999389629810485"/>
  </sheetPr>
  <dimension ref="A1:C16"/>
  <sheetViews>
    <sheetView workbookViewId="0">
      <selection activeCell="G17" sqref="G17"/>
    </sheetView>
  </sheetViews>
  <sheetFormatPr defaultRowHeight="14.5" x14ac:dyDescent="0.35"/>
  <cols>
    <col min="2" max="2" width="6.81640625" style="6" customWidth="1"/>
    <col min="3" max="3" width="7.54296875" style="6" customWidth="1"/>
  </cols>
  <sheetData>
    <row r="1" spans="1:3" x14ac:dyDescent="0.35">
      <c r="A1" s="1" t="s">
        <v>42</v>
      </c>
      <c r="B1" s="14" t="s">
        <v>1</v>
      </c>
      <c r="C1" s="1" t="s">
        <v>34</v>
      </c>
    </row>
    <row r="2" spans="1:3" x14ac:dyDescent="0.35">
      <c r="A2" t="s">
        <v>14</v>
      </c>
      <c r="B2" s="6">
        <v>1.0000000000000004</v>
      </c>
      <c r="C2" s="6">
        <v>0.99999999999999989</v>
      </c>
    </row>
    <row r="3" spans="1:3" x14ac:dyDescent="0.35">
      <c r="A3" t="s">
        <v>2</v>
      </c>
      <c r="B3" s="6">
        <v>0.94477290748131648</v>
      </c>
      <c r="C3" s="6">
        <v>0.75970944030515442</v>
      </c>
    </row>
    <row r="4" spans="1:3" x14ac:dyDescent="0.35">
      <c r="A4" t="s">
        <v>3</v>
      </c>
      <c r="B4" s="6">
        <v>0.55384908714090553</v>
      </c>
      <c r="C4" s="6">
        <v>0.47722936863010368</v>
      </c>
    </row>
    <row r="5" spans="1:3" x14ac:dyDescent="0.35">
      <c r="A5" t="s">
        <v>4</v>
      </c>
      <c r="B5" s="6">
        <v>1.2077224101660249</v>
      </c>
      <c r="C5" s="6">
        <v>0.58952358087364454</v>
      </c>
    </row>
    <row r="6" spans="1:3" x14ac:dyDescent="0.35">
      <c r="A6" t="s">
        <v>5</v>
      </c>
      <c r="B6" s="6">
        <v>0.6049544825619384</v>
      </c>
      <c r="C6" s="6">
        <v>0.26801677343159042</v>
      </c>
    </row>
    <row r="7" spans="1:3" x14ac:dyDescent="0.35">
      <c r="A7" t="s">
        <v>6</v>
      </c>
      <c r="B7" s="6">
        <v>1.2862144264660238</v>
      </c>
      <c r="C7" s="6">
        <v>0.38324299870302836</v>
      </c>
    </row>
    <row r="8" spans="1:3" x14ac:dyDescent="0.35">
      <c r="A8" t="s">
        <v>7</v>
      </c>
      <c r="B8" s="6">
        <v>0.93794041823454333</v>
      </c>
      <c r="C8" s="6">
        <v>0.59882882380274682</v>
      </c>
    </row>
    <row r="9" spans="1:3" x14ac:dyDescent="0.35">
      <c r="A9" t="s">
        <v>8</v>
      </c>
      <c r="B9" s="6">
        <v>1.32329070472577</v>
      </c>
      <c r="C9" s="6">
        <v>0.48009485159513987</v>
      </c>
    </row>
    <row r="10" spans="1:3" x14ac:dyDescent="0.35">
      <c r="A10" t="s">
        <v>9</v>
      </c>
      <c r="B10" s="6">
        <v>1.0214300098481719</v>
      </c>
      <c r="C10" s="6">
        <v>0.58696173526137074</v>
      </c>
    </row>
    <row r="11" spans="1:3" x14ac:dyDescent="0.35">
      <c r="A11" t="s">
        <v>10</v>
      </c>
      <c r="B11" s="6">
        <v>0.9372466895426298</v>
      </c>
      <c r="C11" s="6">
        <v>0.74037563212554169</v>
      </c>
    </row>
    <row r="12" spans="1:3" x14ac:dyDescent="0.35">
      <c r="A12" t="s">
        <v>11</v>
      </c>
      <c r="B12" s="6">
        <v>1.2509638538306809</v>
      </c>
      <c r="C12" s="6">
        <v>0.46232481850809631</v>
      </c>
    </row>
    <row r="13" spans="1:3" x14ac:dyDescent="0.35">
      <c r="A13" t="s">
        <v>12</v>
      </c>
      <c r="B13" s="6">
        <v>0.29305747103316215</v>
      </c>
      <c r="C13" s="6">
        <v>0.16315298344244414</v>
      </c>
    </row>
    <row r="14" spans="1:3" x14ac:dyDescent="0.35">
      <c r="A14" t="s">
        <v>23</v>
      </c>
      <c r="B14" s="6">
        <v>1.3338533512782664</v>
      </c>
      <c r="C14" s="6">
        <v>0.68147682590936709</v>
      </c>
    </row>
    <row r="15" spans="1:3" x14ac:dyDescent="0.35">
      <c r="A15" t="s">
        <v>24</v>
      </c>
      <c r="B15" s="6">
        <v>0.42776734670284738</v>
      </c>
      <c r="C15" s="6">
        <v>0.77354760947320744</v>
      </c>
    </row>
    <row r="16" spans="1:3" x14ac:dyDescent="0.35">
      <c r="A16" t="s">
        <v>44</v>
      </c>
      <c r="B16" s="6">
        <v>-8.7784282046412935E-4</v>
      </c>
      <c r="C16" s="6">
        <v>-6.6497308967398264E-2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8740C-0F6A-4115-876B-E1F578773E5D}">
  <sheetPr codeName="Sheet5">
    <tabColor rgb="FFC6E0B4"/>
  </sheetPr>
  <dimension ref="A1:G92"/>
  <sheetViews>
    <sheetView topLeftCell="A61" workbookViewId="0">
      <selection activeCell="A92" sqref="A92"/>
    </sheetView>
  </sheetViews>
  <sheetFormatPr defaultRowHeight="14.5" x14ac:dyDescent="0.35"/>
  <cols>
    <col min="1" max="1" width="27.54296875" style="3" customWidth="1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600.33000000000004</v>
      </c>
      <c r="C2" s="4">
        <v>579.62</v>
      </c>
      <c r="D2" s="4">
        <v>595.95000000000005</v>
      </c>
      <c r="E2" s="4">
        <v>585.5</v>
      </c>
    </row>
    <row r="3" spans="1:7" x14ac:dyDescent="0.35">
      <c r="A3" s="3">
        <v>44050</v>
      </c>
      <c r="B3" s="4">
        <v>584.6</v>
      </c>
      <c r="C3" s="4">
        <v>571.14</v>
      </c>
      <c r="D3" s="4">
        <v>585.5</v>
      </c>
      <c r="E3" s="4">
        <v>582.74</v>
      </c>
      <c r="F3" s="5">
        <v>4.7139197267292987E-3</v>
      </c>
      <c r="G3" s="5">
        <v>3.9160591332523365E-2</v>
      </c>
    </row>
    <row r="4" spans="1:7" x14ac:dyDescent="0.35">
      <c r="A4" s="3">
        <v>44051</v>
      </c>
      <c r="B4" s="4">
        <v>592.78</v>
      </c>
      <c r="C4" s="4">
        <v>583.12</v>
      </c>
      <c r="D4" s="4">
        <v>582.74</v>
      </c>
      <c r="E4" s="4">
        <v>587.48</v>
      </c>
      <c r="F4" s="5">
        <v>-8.1339877132169391E-3</v>
      </c>
      <c r="G4" s="5">
        <v>-4.739573728166091E-2</v>
      </c>
    </row>
    <row r="5" spans="1:7" x14ac:dyDescent="0.35">
      <c r="A5" s="3">
        <v>44052</v>
      </c>
      <c r="B5" s="4">
        <v>599.16</v>
      </c>
      <c r="C5" s="4">
        <v>582.21</v>
      </c>
      <c r="D5" s="4">
        <v>587.48</v>
      </c>
      <c r="E5" s="4">
        <v>597.64</v>
      </c>
      <c r="F5" s="5">
        <v>-1.7294205760196135E-2</v>
      </c>
      <c r="G5" s="5">
        <v>1.8311701378408318E-2</v>
      </c>
    </row>
    <row r="6" spans="1:7" x14ac:dyDescent="0.35">
      <c r="A6" s="3">
        <v>44053</v>
      </c>
      <c r="B6" s="4">
        <v>632.11</v>
      </c>
      <c r="C6" s="4">
        <v>597.25</v>
      </c>
      <c r="D6" s="4">
        <v>597.64</v>
      </c>
      <c r="E6" s="4">
        <v>624.5</v>
      </c>
      <c r="F6" s="5">
        <v>-4.4943444213908057E-2</v>
      </c>
      <c r="G6" s="5">
        <v>-1.3913088039356314E-2</v>
      </c>
    </row>
    <row r="7" spans="1:7" x14ac:dyDescent="0.35">
      <c r="A7" s="3">
        <v>44054</v>
      </c>
      <c r="B7" s="4">
        <v>608.74</v>
      </c>
      <c r="C7" s="4">
        <v>583.79999999999995</v>
      </c>
      <c r="D7" s="4">
        <v>624.5</v>
      </c>
      <c r="E7" s="4">
        <v>597.58000000000004</v>
      </c>
      <c r="F7" s="5">
        <v>4.3106485188150412E-2</v>
      </c>
      <c r="G7" s="5">
        <v>4.2379520355816047E-2</v>
      </c>
    </row>
    <row r="8" spans="1:7" x14ac:dyDescent="0.35">
      <c r="A8" s="3">
        <v>44055</v>
      </c>
      <c r="B8" s="4">
        <v>827.75</v>
      </c>
      <c r="C8" s="4">
        <v>599.01</v>
      </c>
      <c r="D8" s="4">
        <v>599.01</v>
      </c>
      <c r="E8" s="4">
        <v>720.8</v>
      </c>
      <c r="F8" s="5">
        <v>-0.20619833327755255</v>
      </c>
      <c r="G8" s="5">
        <v>-2.1771256663323912E-2</v>
      </c>
    </row>
    <row r="9" spans="1:7" x14ac:dyDescent="0.35">
      <c r="A9" s="3">
        <v>44056</v>
      </c>
      <c r="B9" s="4">
        <v>852.29</v>
      </c>
      <c r="C9" s="4">
        <v>706.93</v>
      </c>
      <c r="D9" s="4">
        <v>720.8</v>
      </c>
      <c r="E9" s="4">
        <v>790.99</v>
      </c>
      <c r="F9" s="5">
        <v>-9.7377913429522733E-2</v>
      </c>
      <c r="G9" s="5">
        <v>-9.7574834060797144E-2</v>
      </c>
    </row>
    <row r="10" spans="1:7" x14ac:dyDescent="0.35">
      <c r="A10" s="3">
        <v>44057</v>
      </c>
      <c r="B10" s="4">
        <v>817.37</v>
      </c>
      <c r="C10" s="4">
        <v>720</v>
      </c>
      <c r="D10" s="4">
        <v>790.99</v>
      </c>
      <c r="E10" s="4">
        <v>730.92</v>
      </c>
      <c r="F10" s="5">
        <v>7.5942805850895745E-2</v>
      </c>
      <c r="G10" s="5">
        <v>-3.1861072546297331E-2</v>
      </c>
    </row>
    <row r="11" spans="1:7" x14ac:dyDescent="0.35">
      <c r="A11" s="3">
        <v>44058</v>
      </c>
      <c r="B11" s="4">
        <v>735.07</v>
      </c>
      <c r="C11" s="4">
        <v>683.37</v>
      </c>
      <c r="D11" s="4">
        <v>730.92</v>
      </c>
      <c r="E11" s="4">
        <v>694.85</v>
      </c>
      <c r="F11" s="5">
        <v>4.9348765938816763E-2</v>
      </c>
      <c r="G11" s="5">
        <v>1.3545871245809638E-2</v>
      </c>
    </row>
    <row r="12" spans="1:7" x14ac:dyDescent="0.35">
      <c r="A12" s="3">
        <v>44059</v>
      </c>
      <c r="B12" s="4">
        <v>706.37</v>
      </c>
      <c r="C12" s="4">
        <v>683.01</v>
      </c>
      <c r="D12" s="4">
        <v>694.85</v>
      </c>
      <c r="E12" s="4">
        <v>693.55</v>
      </c>
      <c r="F12" s="5">
        <v>1.8709073900843309E-3</v>
      </c>
      <c r="G12" s="5">
        <v>-2.9590586494672166E-3</v>
      </c>
    </row>
    <row r="13" spans="1:7" x14ac:dyDescent="0.35">
      <c r="A13" s="3">
        <v>44060</v>
      </c>
      <c r="B13" s="4">
        <v>729.51</v>
      </c>
      <c r="C13" s="4">
        <v>681.81</v>
      </c>
      <c r="D13" s="4">
        <v>693.55</v>
      </c>
      <c r="E13" s="4">
        <v>685.99</v>
      </c>
      <c r="F13" s="5">
        <v>1.0900439766419079E-2</v>
      </c>
      <c r="G13" s="5">
        <v>5.9698052322232353E-3</v>
      </c>
    </row>
    <row r="14" spans="1:7" x14ac:dyDescent="0.35">
      <c r="A14" s="3">
        <v>44061</v>
      </c>
      <c r="B14" s="4">
        <v>694.45</v>
      </c>
      <c r="C14" s="4">
        <v>649.11</v>
      </c>
      <c r="D14" s="4">
        <v>685.99</v>
      </c>
      <c r="E14" s="4">
        <v>675.07</v>
      </c>
      <c r="F14" s="5">
        <v>1.591859939649265E-2</v>
      </c>
      <c r="G14" s="5">
        <v>2.1031396373417444E-2</v>
      </c>
    </row>
    <row r="15" spans="1:7" x14ac:dyDescent="0.35">
      <c r="A15" s="3">
        <v>44062</v>
      </c>
      <c r="B15" s="4">
        <v>683.16</v>
      </c>
      <c r="C15" s="4">
        <v>632.36</v>
      </c>
      <c r="D15" s="4">
        <v>675.07</v>
      </c>
      <c r="E15" s="4">
        <v>650.13</v>
      </c>
      <c r="F15" s="5">
        <v>3.6944316885656359E-2</v>
      </c>
      <c r="G15" s="5">
        <v>3.3965750017764473E-2</v>
      </c>
    </row>
    <row r="16" spans="1:7" x14ac:dyDescent="0.35">
      <c r="A16" s="3">
        <v>44063</v>
      </c>
      <c r="B16" s="4">
        <v>698.99</v>
      </c>
      <c r="C16" s="4">
        <v>648.13</v>
      </c>
      <c r="D16" s="4">
        <v>650.13</v>
      </c>
      <c r="E16" s="4">
        <v>662</v>
      </c>
      <c r="F16" s="5">
        <v>-1.8257886884161634E-2</v>
      </c>
      <c r="G16" s="5">
        <v>-2.0080912100036707E-2</v>
      </c>
    </row>
    <row r="17" spans="1:7" x14ac:dyDescent="0.35">
      <c r="A17" s="3">
        <v>44064</v>
      </c>
      <c r="B17" s="4">
        <v>671.82</v>
      </c>
      <c r="C17" s="4">
        <v>602</v>
      </c>
      <c r="D17" s="4">
        <v>662</v>
      </c>
      <c r="E17" s="4">
        <v>603.77</v>
      </c>
      <c r="F17" s="5">
        <v>8.7960725075528767E-2</v>
      </c>
      <c r="G17" s="5">
        <v>6.7445437938659758E-2</v>
      </c>
    </row>
    <row r="18" spans="1:7" x14ac:dyDescent="0.35">
      <c r="A18" s="3">
        <v>44065</v>
      </c>
      <c r="B18" s="4">
        <v>651.02</v>
      </c>
      <c r="C18" s="4">
        <v>597.04999999999995</v>
      </c>
      <c r="D18" s="4">
        <v>603.77</v>
      </c>
      <c r="E18" s="4">
        <v>642.28</v>
      </c>
      <c r="F18" s="5">
        <v>-6.3782566208986813E-2</v>
      </c>
      <c r="G18" s="5">
        <v>-1.9279344296097678E-2</v>
      </c>
    </row>
    <row r="19" spans="1:7" x14ac:dyDescent="0.35">
      <c r="A19" s="3">
        <v>44066</v>
      </c>
      <c r="B19" s="4">
        <v>649.39</v>
      </c>
      <c r="C19" s="4">
        <v>623.70000000000005</v>
      </c>
      <c r="D19" s="4">
        <v>642.28</v>
      </c>
      <c r="E19" s="4">
        <v>639.70000000000005</v>
      </c>
      <c r="F19" s="5">
        <v>4.0169396524879497E-3</v>
      </c>
      <c r="G19" s="5">
        <v>1.1986041571840245E-2</v>
      </c>
    </row>
    <row r="20" spans="1:7" x14ac:dyDescent="0.35">
      <c r="A20" s="3">
        <v>44067</v>
      </c>
      <c r="B20" s="4">
        <v>703.79</v>
      </c>
      <c r="C20" s="4">
        <v>630</v>
      </c>
      <c r="D20" s="4">
        <v>639.70000000000005</v>
      </c>
      <c r="E20" s="4">
        <v>678.05</v>
      </c>
      <c r="F20" s="5">
        <v>-5.9949976551508355E-2</v>
      </c>
      <c r="G20" s="5">
        <v>-4.4302825552825498E-2</v>
      </c>
    </row>
    <row r="21" spans="1:7" x14ac:dyDescent="0.35">
      <c r="A21" s="3">
        <v>44068</v>
      </c>
      <c r="B21" s="4">
        <v>678.45</v>
      </c>
      <c r="C21" s="4">
        <v>611.85</v>
      </c>
      <c r="D21" s="4">
        <v>678.05</v>
      </c>
      <c r="E21" s="4">
        <v>639.54</v>
      </c>
      <c r="F21" s="5">
        <v>5.6795221591328104E-2</v>
      </c>
      <c r="G21" s="5">
        <v>6.051025659877951E-2</v>
      </c>
    </row>
    <row r="22" spans="1:7" x14ac:dyDescent="0.35">
      <c r="A22" s="3">
        <v>44069</v>
      </c>
      <c r="B22" s="4">
        <v>653.61</v>
      </c>
      <c r="C22" s="4">
        <v>633.54999999999995</v>
      </c>
      <c r="D22" s="4">
        <v>638.36</v>
      </c>
      <c r="E22" s="4">
        <v>641.46</v>
      </c>
      <c r="F22" s="5">
        <v>-3.0021578009196137E-3</v>
      </c>
      <c r="G22" s="5">
        <v>-6.9911827620390277E-3</v>
      </c>
    </row>
    <row r="23" spans="1:7" x14ac:dyDescent="0.35">
      <c r="A23" s="3">
        <v>44070</v>
      </c>
      <c r="B23" s="4">
        <v>638.84</v>
      </c>
      <c r="C23" s="4">
        <v>616.17999999999995</v>
      </c>
      <c r="D23" s="4">
        <v>641.46</v>
      </c>
      <c r="E23" s="4">
        <v>617.88</v>
      </c>
      <c r="F23" s="5">
        <v>3.6759891497521346E-2</v>
      </c>
      <c r="G23" s="5">
        <v>7.8493342313868952E-3</v>
      </c>
    </row>
    <row r="24" spans="1:7" x14ac:dyDescent="0.35">
      <c r="A24" s="3">
        <v>44071</v>
      </c>
      <c r="B24" s="4">
        <v>638.36</v>
      </c>
      <c r="C24" s="4">
        <v>620.71</v>
      </c>
      <c r="D24" s="4">
        <v>617.88</v>
      </c>
      <c r="E24" s="4">
        <v>635.71</v>
      </c>
      <c r="F24" s="5">
        <v>-2.8856735935780531E-2</v>
      </c>
      <c r="G24" s="5">
        <v>-3.2768479594767586E-2</v>
      </c>
    </row>
    <row r="25" spans="1:7" x14ac:dyDescent="0.35">
      <c r="A25" s="3">
        <v>44072</v>
      </c>
      <c r="B25" s="4">
        <v>642.45000000000005</v>
      </c>
      <c r="C25" s="4">
        <v>630.62</v>
      </c>
      <c r="D25" s="4">
        <v>635.71</v>
      </c>
      <c r="E25" s="4">
        <v>631.30999999999995</v>
      </c>
      <c r="F25" s="5">
        <v>6.9213949756966597E-3</v>
      </c>
      <c r="G25" s="5">
        <v>-8.6211255498811479E-3</v>
      </c>
    </row>
    <row r="26" spans="1:7" x14ac:dyDescent="0.35">
      <c r="A26" s="3">
        <v>44073</v>
      </c>
      <c r="B26" s="4">
        <v>688.82</v>
      </c>
      <c r="C26" s="4">
        <v>635.86</v>
      </c>
      <c r="D26" s="4">
        <v>631.30999999999995</v>
      </c>
      <c r="E26" s="4">
        <v>677.33</v>
      </c>
      <c r="F26" s="5">
        <v>-7.2896041564366243E-2</v>
      </c>
      <c r="G26" s="5">
        <v>-7.5773906504574606E-2</v>
      </c>
    </row>
    <row r="27" spans="1:7" x14ac:dyDescent="0.35">
      <c r="A27" s="3">
        <v>44074</v>
      </c>
      <c r="B27" s="4">
        <v>686.53</v>
      </c>
      <c r="C27" s="4">
        <v>659.83</v>
      </c>
      <c r="D27" s="4">
        <v>677.33</v>
      </c>
      <c r="E27" s="4">
        <v>681.05</v>
      </c>
      <c r="F27" s="5">
        <v>-5.492153012564005E-3</v>
      </c>
      <c r="G27" s="5">
        <v>-1.1556922503378475E-2</v>
      </c>
    </row>
    <row r="28" spans="1:7" x14ac:dyDescent="0.35">
      <c r="A28" s="3">
        <v>44075</v>
      </c>
      <c r="B28" s="4">
        <v>751.38</v>
      </c>
      <c r="C28" s="4">
        <v>692.94</v>
      </c>
      <c r="D28" s="4">
        <v>681.05</v>
      </c>
      <c r="E28" s="4">
        <v>717.99</v>
      </c>
      <c r="F28" s="5">
        <v>-5.423977681521186E-2</v>
      </c>
      <c r="G28" s="5">
        <v>-9.6397475468742888E-2</v>
      </c>
    </row>
    <row r="29" spans="1:7" x14ac:dyDescent="0.35">
      <c r="A29" s="3">
        <v>44076</v>
      </c>
      <c r="B29" s="4">
        <v>687.07</v>
      </c>
      <c r="C29" s="4">
        <v>642.04</v>
      </c>
      <c r="D29" s="4">
        <v>717.99</v>
      </c>
      <c r="E29" s="4">
        <v>662.22</v>
      </c>
      <c r="F29" s="5">
        <v>7.7675176534492074E-2</v>
      </c>
      <c r="G29" s="5">
        <v>7.5967982520641186E-2</v>
      </c>
    </row>
    <row r="30" spans="1:7" x14ac:dyDescent="0.35">
      <c r="A30" s="3">
        <v>44077</v>
      </c>
      <c r="B30" s="4">
        <v>667.69</v>
      </c>
      <c r="C30" s="4">
        <v>562.99</v>
      </c>
      <c r="D30" s="4">
        <v>663.32</v>
      </c>
      <c r="E30" s="4">
        <v>562.99</v>
      </c>
      <c r="F30" s="5">
        <v>0.14984446256531059</v>
      </c>
      <c r="G30" s="5">
        <v>0.1304367596571403</v>
      </c>
    </row>
    <row r="31" spans="1:7" x14ac:dyDescent="0.35">
      <c r="A31" s="3">
        <v>44078</v>
      </c>
      <c r="B31" s="4">
        <v>606.58000000000004</v>
      </c>
      <c r="C31" s="4">
        <v>566.80999999999995</v>
      </c>
      <c r="D31" s="4">
        <v>563.47</v>
      </c>
      <c r="E31" s="4">
        <v>587.22</v>
      </c>
      <c r="F31" s="5">
        <v>-4.303806461926496E-2</v>
      </c>
      <c r="G31" s="5">
        <v>-9.0205511687497797E-3</v>
      </c>
    </row>
    <row r="32" spans="1:7" x14ac:dyDescent="0.35">
      <c r="A32" s="3">
        <v>44079</v>
      </c>
      <c r="B32" s="4">
        <v>582.73</v>
      </c>
      <c r="C32" s="4">
        <v>509.01</v>
      </c>
      <c r="D32" s="4">
        <v>587.22</v>
      </c>
      <c r="E32" s="4">
        <v>513.69000000000005</v>
      </c>
      <c r="F32" s="5">
        <v>0.12521712475733116</v>
      </c>
      <c r="G32" s="5">
        <v>0.13130004405172191</v>
      </c>
    </row>
    <row r="33" spans="1:7" x14ac:dyDescent="0.35">
      <c r="A33" s="3">
        <v>44080</v>
      </c>
      <c r="B33" s="4">
        <v>545.75</v>
      </c>
      <c r="C33" s="4">
        <v>493.11</v>
      </c>
      <c r="D33" s="4">
        <v>513.69000000000005</v>
      </c>
      <c r="E33" s="4">
        <v>544.30999999999995</v>
      </c>
      <c r="F33" s="5">
        <v>-5.9607934746636948E-2</v>
      </c>
      <c r="G33" s="5">
        <v>-5.2052261066698469E-2</v>
      </c>
    </row>
    <row r="34" spans="1:7" x14ac:dyDescent="0.35">
      <c r="A34" s="3">
        <v>44081</v>
      </c>
      <c r="B34" s="4">
        <v>556.01</v>
      </c>
      <c r="C34" s="4">
        <v>525.39</v>
      </c>
      <c r="D34" s="4">
        <v>544.30999999999995</v>
      </c>
      <c r="E34" s="4">
        <v>528.91999999999996</v>
      </c>
      <c r="F34" s="5">
        <v>2.8274328966948925E-2</v>
      </c>
      <c r="G34" s="5">
        <v>-2.8637046698234414E-3</v>
      </c>
    </row>
    <row r="35" spans="1:7" x14ac:dyDescent="0.35">
      <c r="A35" s="3">
        <v>44082</v>
      </c>
      <c r="B35" s="4">
        <v>530.36</v>
      </c>
      <c r="C35" s="4">
        <v>500.89</v>
      </c>
      <c r="D35" s="4">
        <v>528.30999999999995</v>
      </c>
      <c r="E35" s="4">
        <v>507.77</v>
      </c>
      <c r="F35" s="5">
        <v>3.9987143613400833E-2</v>
      </c>
      <c r="G35" s="5">
        <v>4.5942889454339886E-2</v>
      </c>
    </row>
    <row r="36" spans="1:7" x14ac:dyDescent="0.35">
      <c r="A36" s="3">
        <v>44083</v>
      </c>
      <c r="B36" s="4">
        <v>535</v>
      </c>
      <c r="C36" s="4">
        <v>500.9</v>
      </c>
      <c r="D36" s="4">
        <v>507.77</v>
      </c>
      <c r="E36" s="4">
        <v>522.53</v>
      </c>
      <c r="F36" s="5">
        <v>-2.9068278945191706E-2</v>
      </c>
      <c r="G36" s="5">
        <v>-4.0598607201066894E-2</v>
      </c>
    </row>
    <row r="37" spans="1:7" x14ac:dyDescent="0.35">
      <c r="A37" s="3">
        <v>44084</v>
      </c>
      <c r="B37" s="4">
        <v>558.30999999999995</v>
      </c>
      <c r="C37" s="4">
        <v>522.42999999999995</v>
      </c>
      <c r="D37" s="4">
        <v>522.53</v>
      </c>
      <c r="E37" s="4">
        <v>532.69000000000005</v>
      </c>
      <c r="F37" s="5">
        <v>-1.9443859682697795E-2</v>
      </c>
      <c r="G37" s="5">
        <v>-4.8241492239783579E-2</v>
      </c>
    </row>
    <row r="38" spans="1:7" x14ac:dyDescent="0.35">
      <c r="A38" s="3">
        <v>44085</v>
      </c>
      <c r="B38" s="4">
        <v>538.47</v>
      </c>
      <c r="C38" s="4">
        <v>507.61</v>
      </c>
      <c r="D38" s="4">
        <v>532.69000000000005</v>
      </c>
      <c r="E38" s="4">
        <v>524.20000000000005</v>
      </c>
      <c r="F38" s="5">
        <v>1.5937975182564013E-2</v>
      </c>
      <c r="G38" s="5">
        <v>-1.6028688635931543E-2</v>
      </c>
    </row>
    <row r="39" spans="1:7" x14ac:dyDescent="0.35">
      <c r="A39" s="3">
        <v>44086</v>
      </c>
      <c r="B39" s="4">
        <v>530.27</v>
      </c>
      <c r="C39" s="4">
        <v>500.23</v>
      </c>
      <c r="D39" s="4">
        <v>524.20000000000005</v>
      </c>
      <c r="E39" s="4">
        <v>513.44000000000005</v>
      </c>
      <c r="F39" s="5">
        <v>2.052651659671878E-2</v>
      </c>
      <c r="G39" s="5">
        <v>-3.7567849407738274E-2</v>
      </c>
    </row>
    <row r="40" spans="1:7" x14ac:dyDescent="0.35">
      <c r="A40" s="3">
        <v>44087</v>
      </c>
      <c r="B40" s="4">
        <v>516.16999999999996</v>
      </c>
      <c r="C40" s="4">
        <v>483.53</v>
      </c>
      <c r="D40" s="4">
        <v>513.44000000000005</v>
      </c>
      <c r="E40" s="4">
        <v>497.7</v>
      </c>
      <c r="F40" s="5">
        <v>3.0655967591149968E-2</v>
      </c>
      <c r="G40" s="5">
        <v>5.6076693124420318E-2</v>
      </c>
    </row>
    <row r="41" spans="1:7" x14ac:dyDescent="0.35">
      <c r="A41" s="3">
        <v>44088</v>
      </c>
      <c r="B41" s="4">
        <v>516.92999999999995</v>
      </c>
      <c r="C41" s="4">
        <v>475.02</v>
      </c>
      <c r="D41" s="4">
        <v>497.7</v>
      </c>
      <c r="E41" s="4">
        <v>486.42</v>
      </c>
      <c r="F41" s="5">
        <v>2.2664255575647885E-2</v>
      </c>
      <c r="G41" s="5">
        <v>-2.9977066724909962E-2</v>
      </c>
    </row>
    <row r="42" spans="1:7" x14ac:dyDescent="0.35">
      <c r="A42" s="3">
        <v>44089</v>
      </c>
      <c r="B42" s="4">
        <v>500.3</v>
      </c>
      <c r="C42" s="4">
        <v>453.32</v>
      </c>
      <c r="D42" s="4">
        <v>486.42</v>
      </c>
      <c r="E42" s="4">
        <v>455.1</v>
      </c>
      <c r="F42" s="5">
        <v>6.4388799802639674E-2</v>
      </c>
      <c r="G42" s="5">
        <v>3.4724062980437842E-2</v>
      </c>
    </row>
    <row r="43" spans="1:7" x14ac:dyDescent="0.35">
      <c r="A43" s="3">
        <v>44090</v>
      </c>
      <c r="B43" s="4">
        <v>478</v>
      </c>
      <c r="C43" s="4">
        <v>439.22</v>
      </c>
      <c r="D43" s="4">
        <v>455.1</v>
      </c>
      <c r="E43" s="4">
        <v>474.39</v>
      </c>
      <c r="F43" s="5">
        <v>-4.2386288727751964E-2</v>
      </c>
      <c r="G43" s="5">
        <v>-2.5538224956060951E-3</v>
      </c>
    </row>
    <row r="44" spans="1:7" x14ac:dyDescent="0.35">
      <c r="A44" s="3">
        <v>44091</v>
      </c>
      <c r="B44" s="4">
        <v>572.21</v>
      </c>
      <c r="C44" s="4">
        <v>472.94</v>
      </c>
      <c r="D44" s="4">
        <v>474.33</v>
      </c>
      <c r="E44" s="4">
        <v>503.8</v>
      </c>
      <c r="F44" s="5">
        <v>-6.199540462488673E-2</v>
      </c>
      <c r="G44" s="5">
        <v>-6.6969788271385333E-2</v>
      </c>
    </row>
    <row r="45" spans="1:7" x14ac:dyDescent="0.35">
      <c r="A45" s="3">
        <v>44092</v>
      </c>
      <c r="B45" s="4">
        <v>507.53</v>
      </c>
      <c r="C45" s="4">
        <v>478.44</v>
      </c>
      <c r="D45" s="4">
        <v>503.63</v>
      </c>
      <c r="E45" s="4">
        <v>499</v>
      </c>
      <c r="F45" s="5">
        <v>9.5275903136164963E-3</v>
      </c>
      <c r="G45" s="5">
        <v>1.3015351440160194E-2</v>
      </c>
    </row>
    <row r="46" spans="1:7" x14ac:dyDescent="0.35">
      <c r="A46" s="3">
        <v>44093</v>
      </c>
      <c r="B46" s="4">
        <v>531.70000000000005</v>
      </c>
      <c r="C46" s="4">
        <v>493.4</v>
      </c>
      <c r="D46" s="4">
        <v>499</v>
      </c>
      <c r="E46" s="4">
        <v>513.20000000000005</v>
      </c>
      <c r="F46" s="5">
        <v>-2.8456913827655361E-2</v>
      </c>
      <c r="G46" s="5">
        <v>-2.0807865373109191E-3</v>
      </c>
    </row>
    <row r="47" spans="1:7" x14ac:dyDescent="0.35">
      <c r="A47" s="3">
        <v>44094</v>
      </c>
      <c r="B47" s="4">
        <v>514.78</v>
      </c>
      <c r="C47" s="4">
        <v>465.99</v>
      </c>
      <c r="D47" s="4">
        <v>513.20000000000005</v>
      </c>
      <c r="E47" s="4">
        <v>475.15</v>
      </c>
      <c r="F47" s="5">
        <v>7.4142634450506728E-2</v>
      </c>
      <c r="G47" s="5">
        <v>3.6987048044228699E-2</v>
      </c>
    </row>
    <row r="48" spans="1:7" x14ac:dyDescent="0.35">
      <c r="A48" s="3">
        <v>44095</v>
      </c>
      <c r="B48" s="4">
        <v>487.52</v>
      </c>
      <c r="C48" s="4">
        <v>435.85</v>
      </c>
      <c r="D48" s="4">
        <v>475.15</v>
      </c>
      <c r="E48" s="4">
        <v>452.92</v>
      </c>
      <c r="F48" s="5">
        <v>4.6785225718194212E-2</v>
      </c>
      <c r="G48" s="5">
        <v>8.3095250929869025E-2</v>
      </c>
    </row>
    <row r="49" spans="1:7" x14ac:dyDescent="0.35">
      <c r="A49" s="3">
        <v>44096</v>
      </c>
      <c r="B49" s="4">
        <v>466.46</v>
      </c>
      <c r="C49" s="4">
        <v>440.26</v>
      </c>
      <c r="D49" s="4">
        <v>452.92</v>
      </c>
      <c r="E49" s="4">
        <v>462.06</v>
      </c>
      <c r="F49" s="5">
        <v>-2.0180164267420198E-2</v>
      </c>
      <c r="G49" s="5">
        <v>-1.1934507187160159E-2</v>
      </c>
    </row>
    <row r="50" spans="1:7" x14ac:dyDescent="0.35">
      <c r="A50" s="3">
        <v>44097</v>
      </c>
      <c r="B50" s="4">
        <v>467.63</v>
      </c>
      <c r="C50" s="4">
        <v>433.37</v>
      </c>
      <c r="D50" s="4">
        <v>462.06</v>
      </c>
      <c r="E50" s="4">
        <v>436.01</v>
      </c>
      <c r="F50" s="5">
        <v>5.6377959572349923E-2</v>
      </c>
      <c r="G50" s="5">
        <v>6.989106753812635E-2</v>
      </c>
    </row>
    <row r="51" spans="1:7" x14ac:dyDescent="0.35">
      <c r="A51" s="3">
        <v>44098</v>
      </c>
      <c r="B51" s="4">
        <v>488.24</v>
      </c>
      <c r="C51" s="4">
        <v>431.67</v>
      </c>
      <c r="D51" s="4">
        <v>436.01</v>
      </c>
      <c r="E51" s="4">
        <v>486.17</v>
      </c>
      <c r="F51" s="5">
        <v>-0.1150432329533726</v>
      </c>
      <c r="G51" s="5">
        <v>-9.0539991879821313E-2</v>
      </c>
    </row>
    <row r="52" spans="1:7" x14ac:dyDescent="0.35">
      <c r="A52" s="3">
        <v>44099</v>
      </c>
      <c r="B52" s="4">
        <v>515.21</v>
      </c>
      <c r="C52" s="4">
        <v>476.02</v>
      </c>
      <c r="D52" s="4">
        <v>486.17</v>
      </c>
      <c r="E52" s="4">
        <v>504</v>
      </c>
      <c r="F52" s="5">
        <v>-3.6674414299524782E-2</v>
      </c>
      <c r="G52" s="5">
        <v>-8.133340970273073E-3</v>
      </c>
    </row>
    <row r="53" spans="1:7" x14ac:dyDescent="0.35">
      <c r="A53" s="3">
        <v>44100</v>
      </c>
      <c r="B53" s="4">
        <v>526.45000000000005</v>
      </c>
      <c r="C53" s="4">
        <v>500.48</v>
      </c>
      <c r="D53" s="4">
        <v>504</v>
      </c>
      <c r="E53" s="4">
        <v>524.52</v>
      </c>
      <c r="F53" s="5">
        <v>-4.0714285714285703E-2</v>
      </c>
      <c r="G53" s="5">
        <v>-6.2780523833874113E-3</v>
      </c>
    </row>
    <row r="54" spans="1:7" x14ac:dyDescent="0.35">
      <c r="A54" s="3">
        <v>44101</v>
      </c>
      <c r="B54" s="4">
        <v>526.5</v>
      </c>
      <c r="C54" s="4">
        <v>490.55</v>
      </c>
      <c r="D54" s="4">
        <v>524.52</v>
      </c>
      <c r="E54" s="4">
        <v>502.21</v>
      </c>
      <c r="F54" s="5">
        <v>4.2534126439411235E-2</v>
      </c>
      <c r="G54" s="5">
        <v>-9.8805860599044948E-3</v>
      </c>
    </row>
    <row r="55" spans="1:7" x14ac:dyDescent="0.35">
      <c r="A55" s="3">
        <v>44102</v>
      </c>
      <c r="B55" s="4">
        <v>550.74</v>
      </c>
      <c r="C55" s="4">
        <v>502.21</v>
      </c>
      <c r="D55" s="4">
        <v>502.21</v>
      </c>
      <c r="E55" s="4">
        <v>512.91</v>
      </c>
      <c r="F55" s="5">
        <v>-2.13058282391827E-2</v>
      </c>
      <c r="G55" s="5">
        <v>1.0398904201492809E-2</v>
      </c>
    </row>
    <row r="56" spans="1:7" x14ac:dyDescent="0.35">
      <c r="A56" s="3">
        <v>44103</v>
      </c>
      <c r="B56" s="4">
        <v>537.91</v>
      </c>
      <c r="C56" s="4">
        <v>505.83</v>
      </c>
      <c r="D56" s="4">
        <v>512.91</v>
      </c>
      <c r="E56" s="4">
        <v>526.24</v>
      </c>
      <c r="F56" s="5">
        <v>-2.5988964925620639E-2</v>
      </c>
      <c r="G56" s="5">
        <v>-1.6694443659783786E-2</v>
      </c>
    </row>
    <row r="57" spans="1:7" x14ac:dyDescent="0.35">
      <c r="A57" s="3">
        <v>44104</v>
      </c>
      <c r="B57" s="4">
        <v>604.38</v>
      </c>
      <c r="C57" s="4">
        <v>504.51</v>
      </c>
      <c r="D57" s="4">
        <v>526.24</v>
      </c>
      <c r="E57" s="4">
        <v>571.38</v>
      </c>
      <c r="F57" s="5">
        <v>-8.5778352082699794E-2</v>
      </c>
      <c r="G57" s="5">
        <v>2.7783951989335254E-4</v>
      </c>
    </row>
    <row r="58" spans="1:7" x14ac:dyDescent="0.35">
      <c r="A58" s="3">
        <v>44105</v>
      </c>
      <c r="B58" s="4">
        <v>600.72</v>
      </c>
      <c r="C58" s="4">
        <v>553.6</v>
      </c>
      <c r="D58" s="4">
        <v>571.38</v>
      </c>
      <c r="E58" s="4">
        <v>576.08000000000004</v>
      </c>
      <c r="F58" s="5">
        <v>-8.2256991844307237E-3</v>
      </c>
      <c r="G58" s="5">
        <v>1.8370296259240804E-2</v>
      </c>
    </row>
    <row r="59" spans="1:7" x14ac:dyDescent="0.35">
      <c r="A59" s="3">
        <v>44106</v>
      </c>
      <c r="B59" s="4">
        <v>574.95000000000005</v>
      </c>
      <c r="C59" s="4">
        <v>538.03</v>
      </c>
      <c r="D59" s="4">
        <v>576.39</v>
      </c>
      <c r="E59" s="4">
        <v>551.78</v>
      </c>
      <c r="F59" s="5">
        <v>4.2181641438689188E-2</v>
      </c>
      <c r="G59" s="5">
        <v>2.0894085671413598E-2</v>
      </c>
    </row>
    <row r="60" spans="1:7" x14ac:dyDescent="0.35">
      <c r="A60" s="3">
        <v>44107</v>
      </c>
      <c r="B60" s="4">
        <v>584.39</v>
      </c>
      <c r="C60" s="4">
        <v>546.98</v>
      </c>
      <c r="D60" s="4">
        <v>551.5</v>
      </c>
      <c r="E60" s="4">
        <v>557.19000000000005</v>
      </c>
      <c r="F60" s="5">
        <v>-9.8046322809817177E-3</v>
      </c>
      <c r="G60" s="5">
        <v>-1.4168811265651282E-3</v>
      </c>
    </row>
    <row r="61" spans="1:7" x14ac:dyDescent="0.35">
      <c r="A61" s="3">
        <v>44108</v>
      </c>
      <c r="B61" s="4">
        <v>571.89</v>
      </c>
      <c r="C61" s="4">
        <v>549.9</v>
      </c>
      <c r="D61" s="4">
        <v>558.30999999999995</v>
      </c>
      <c r="E61" s="4">
        <v>569.75</v>
      </c>
      <c r="F61" s="5">
        <v>-2.2541682370466054E-2</v>
      </c>
      <c r="G61" s="5">
        <v>-1.816239316239332E-2</v>
      </c>
    </row>
    <row r="62" spans="1:7" x14ac:dyDescent="0.35">
      <c r="A62" s="3">
        <v>44109</v>
      </c>
      <c r="B62" s="4">
        <v>579.16</v>
      </c>
      <c r="C62" s="4">
        <v>553.47</v>
      </c>
      <c r="D62" s="4">
        <v>569.75</v>
      </c>
      <c r="E62" s="4">
        <v>565.12</v>
      </c>
      <c r="F62" s="5">
        <v>8.1263712154453493E-3</v>
      </c>
      <c r="G62" s="5">
        <v>-3.2613936076684169E-3</v>
      </c>
    </row>
    <row r="63" spans="1:7" x14ac:dyDescent="0.35">
      <c r="A63" s="3">
        <v>44110</v>
      </c>
      <c r="B63" s="4">
        <v>558.4</v>
      </c>
      <c r="C63" s="4">
        <v>517.79</v>
      </c>
      <c r="D63" s="4">
        <v>565.12</v>
      </c>
      <c r="E63" s="4">
        <v>520.33000000000004</v>
      </c>
      <c r="F63" s="5">
        <v>7.9257502831256987E-2</v>
      </c>
      <c r="G63" s="5">
        <v>3.6493668023518722E-2</v>
      </c>
    </row>
    <row r="64" spans="1:7" x14ac:dyDescent="0.35">
      <c r="A64" s="3">
        <v>44111</v>
      </c>
      <c r="B64" s="4">
        <v>531.26</v>
      </c>
      <c r="C64" s="4">
        <v>502.01</v>
      </c>
      <c r="D64" s="4">
        <v>520.45000000000005</v>
      </c>
      <c r="E64" s="4">
        <v>522.78</v>
      </c>
      <c r="F64" s="5">
        <v>-4.7085503430512876E-3</v>
      </c>
      <c r="G64" s="5">
        <v>-3.1098723778788528E-3</v>
      </c>
    </row>
    <row r="65" spans="1:7" x14ac:dyDescent="0.35">
      <c r="A65" s="3">
        <v>44112</v>
      </c>
      <c r="B65" s="4">
        <v>537.47</v>
      </c>
      <c r="C65" s="4">
        <v>498.61</v>
      </c>
      <c r="D65" s="4">
        <v>522.78</v>
      </c>
      <c r="E65" s="4">
        <v>533.95000000000005</v>
      </c>
      <c r="F65" s="5">
        <v>-2.1366540418531921E-2</v>
      </c>
      <c r="G65" s="5">
        <v>-2.7170892925038714E-2</v>
      </c>
    </row>
    <row r="66" spans="1:7" x14ac:dyDescent="0.35">
      <c r="A66" s="3">
        <v>44113</v>
      </c>
      <c r="B66" s="4">
        <v>570.79</v>
      </c>
      <c r="C66" s="4">
        <v>525.21</v>
      </c>
      <c r="D66" s="4">
        <v>533.95000000000005</v>
      </c>
      <c r="E66" s="4">
        <v>568.03</v>
      </c>
      <c r="F66" s="5">
        <v>-6.3826200955145573E-2</v>
      </c>
      <c r="G66" s="5">
        <v>-4.0461275626423765E-2</v>
      </c>
    </row>
    <row r="67" spans="1:7" x14ac:dyDescent="0.35">
      <c r="A67" s="3">
        <v>44114</v>
      </c>
      <c r="B67" s="4">
        <v>614.21</v>
      </c>
      <c r="C67" s="4">
        <v>567.41999999999996</v>
      </c>
      <c r="D67" s="4">
        <v>568.03</v>
      </c>
      <c r="E67" s="4">
        <v>587.29</v>
      </c>
      <c r="F67" s="5">
        <v>-3.3906659859514354E-2</v>
      </c>
      <c r="G67" s="5">
        <v>-1.4969486330423276E-2</v>
      </c>
    </row>
    <row r="68" spans="1:7" x14ac:dyDescent="0.35">
      <c r="A68" s="3">
        <v>44115</v>
      </c>
      <c r="B68" s="4">
        <v>596.67999999999995</v>
      </c>
      <c r="C68" s="4">
        <v>576.82000000000005</v>
      </c>
      <c r="D68" s="4">
        <v>587.29</v>
      </c>
      <c r="E68" s="4">
        <v>588.22</v>
      </c>
      <c r="F68" s="5">
        <v>-1.5835447564236382E-3</v>
      </c>
      <c r="G68" s="5">
        <v>-9.4100517687663032E-3</v>
      </c>
    </row>
    <row r="69" spans="1:7" x14ac:dyDescent="0.35">
      <c r="A69" s="3">
        <v>44116</v>
      </c>
      <c r="B69" s="4">
        <v>597.76</v>
      </c>
      <c r="C69" s="4">
        <v>582.07000000000005</v>
      </c>
      <c r="D69" s="4">
        <v>588.46</v>
      </c>
      <c r="E69" s="4">
        <v>586.91</v>
      </c>
      <c r="F69" s="5">
        <v>2.2270579035056359E-3</v>
      </c>
      <c r="G69" s="5">
        <v>-3.3496273739882954E-2</v>
      </c>
    </row>
    <row r="70" spans="1:7" x14ac:dyDescent="0.35">
      <c r="A70" s="3">
        <v>44117</v>
      </c>
      <c r="B70" s="4">
        <v>595.97</v>
      </c>
      <c r="C70" s="4">
        <v>561.37</v>
      </c>
      <c r="D70" s="4">
        <v>586.57000000000005</v>
      </c>
      <c r="E70" s="4">
        <v>574.36</v>
      </c>
      <c r="F70" s="5">
        <v>2.1383176296195239E-2</v>
      </c>
      <c r="G70" s="5">
        <v>1.421519216355227E-2</v>
      </c>
    </row>
    <row r="71" spans="1:7" x14ac:dyDescent="0.35">
      <c r="A71" s="3">
        <v>44118</v>
      </c>
      <c r="B71" s="4">
        <v>598.41999999999996</v>
      </c>
      <c r="C71" s="4">
        <v>559.23</v>
      </c>
      <c r="D71" s="4">
        <v>574.36</v>
      </c>
      <c r="E71" s="4">
        <v>575.32000000000005</v>
      </c>
      <c r="F71" s="5">
        <v>-1.6714255867400496E-3</v>
      </c>
      <c r="G71" s="5">
        <v>6.0302561547941336E-3</v>
      </c>
    </row>
    <row r="72" spans="1:7" x14ac:dyDescent="0.35">
      <c r="A72" s="3">
        <v>44119</v>
      </c>
      <c r="B72" s="4">
        <v>579.9</v>
      </c>
      <c r="C72" s="4">
        <v>557.58000000000004</v>
      </c>
      <c r="D72" s="4">
        <v>575.80999999999995</v>
      </c>
      <c r="E72" s="4">
        <v>558.38</v>
      </c>
      <c r="F72" s="5">
        <v>2.9444483070291461E-2</v>
      </c>
      <c r="G72" s="5">
        <v>3.7192371607185359E-3</v>
      </c>
    </row>
    <row r="73" spans="1:7" x14ac:dyDescent="0.35">
      <c r="A73" s="3">
        <v>44120</v>
      </c>
      <c r="B73" s="4">
        <v>554.41999999999996</v>
      </c>
      <c r="C73" s="4">
        <v>535.39</v>
      </c>
      <c r="D73" s="4">
        <v>558.38</v>
      </c>
      <c r="E73" s="4">
        <v>543.42999999999995</v>
      </c>
      <c r="F73" s="5">
        <v>2.677388158601679E-2</v>
      </c>
      <c r="G73" s="5">
        <v>3.2088959491660018E-2</v>
      </c>
    </row>
    <row r="74" spans="1:7" x14ac:dyDescent="0.35">
      <c r="A74" s="3">
        <v>44121</v>
      </c>
      <c r="B74" s="4">
        <v>560.20000000000005</v>
      </c>
      <c r="C74" s="4">
        <v>539.16999999999996</v>
      </c>
      <c r="D74" s="4">
        <v>543.42999999999995</v>
      </c>
      <c r="E74" s="4">
        <v>553.38</v>
      </c>
      <c r="F74" s="5">
        <v>-1.8309625894779469E-2</v>
      </c>
      <c r="G74" s="5">
        <v>-8.3976147491657827E-3</v>
      </c>
    </row>
    <row r="75" spans="1:7" x14ac:dyDescent="0.35">
      <c r="A75" s="3">
        <v>44122</v>
      </c>
      <c r="B75" s="4">
        <v>576.92999999999995</v>
      </c>
      <c r="C75" s="4">
        <v>559.20000000000005</v>
      </c>
      <c r="D75" s="4">
        <v>553.38</v>
      </c>
      <c r="E75" s="4">
        <v>574.86</v>
      </c>
      <c r="F75" s="5">
        <v>-3.8816003469587024E-2</v>
      </c>
      <c r="G75" s="5">
        <v>-2.6556354265563575E-2</v>
      </c>
    </row>
    <row r="76" spans="1:7" x14ac:dyDescent="0.35">
      <c r="A76" s="3">
        <v>44123</v>
      </c>
      <c r="B76" s="4">
        <v>590.66999999999996</v>
      </c>
      <c r="C76" s="4">
        <v>570.55999999999995</v>
      </c>
      <c r="D76" s="4">
        <v>574.86</v>
      </c>
      <c r="E76" s="4">
        <v>572.09</v>
      </c>
      <c r="F76" s="5">
        <v>4.8185645200570226E-3</v>
      </c>
      <c r="G76" s="5">
        <v>-2.5631540006343378E-3</v>
      </c>
    </row>
    <row r="77" spans="1:7" x14ac:dyDescent="0.35">
      <c r="A77" s="3">
        <v>44124</v>
      </c>
      <c r="B77" s="4">
        <v>581.42999999999995</v>
      </c>
      <c r="C77" s="4">
        <v>551.38</v>
      </c>
      <c r="D77" s="4">
        <v>572.09</v>
      </c>
      <c r="E77" s="4">
        <v>551.62</v>
      </c>
      <c r="F77" s="5">
        <v>3.5781083395969193E-2</v>
      </c>
      <c r="G77" s="5">
        <v>2.8122611422998878E-2</v>
      </c>
    </row>
    <row r="78" spans="1:7" x14ac:dyDescent="0.35">
      <c r="A78" s="3">
        <v>44125</v>
      </c>
      <c r="B78" s="4">
        <v>596.71</v>
      </c>
      <c r="C78" s="4">
        <v>554.80999999999995</v>
      </c>
      <c r="D78" s="4">
        <v>551.62</v>
      </c>
      <c r="E78" s="4">
        <v>568.77</v>
      </c>
      <c r="F78" s="5">
        <v>-3.1090243283419694E-2</v>
      </c>
      <c r="G78" s="5">
        <v>-6.1615230243531993E-2</v>
      </c>
    </row>
    <row r="79" spans="1:7" x14ac:dyDescent="0.35">
      <c r="A79" s="3">
        <v>44126</v>
      </c>
      <c r="B79" s="4">
        <v>600.41</v>
      </c>
      <c r="C79" s="4">
        <v>574.04</v>
      </c>
      <c r="D79" s="4">
        <v>568.77</v>
      </c>
      <c r="E79" s="4">
        <v>596.51</v>
      </c>
      <c r="F79" s="5">
        <v>-4.8771911317404326E-2</v>
      </c>
      <c r="G79" s="5">
        <v>-5.8856588157155221E-2</v>
      </c>
    </row>
    <row r="80" spans="1:7" x14ac:dyDescent="0.35">
      <c r="A80" s="3">
        <v>44127</v>
      </c>
      <c r="B80" s="4">
        <v>602.1</v>
      </c>
      <c r="C80" s="4">
        <v>589.03</v>
      </c>
      <c r="D80" s="4">
        <v>596.51</v>
      </c>
      <c r="E80" s="4">
        <v>593.55999999999995</v>
      </c>
      <c r="F80" s="5">
        <v>4.9454325996212134E-3</v>
      </c>
      <c r="G80" s="5">
        <v>1.189384800965021E-2</v>
      </c>
    </row>
    <row r="81" spans="1:7" x14ac:dyDescent="0.35">
      <c r="A81" s="3">
        <v>44128</v>
      </c>
      <c r="B81" s="4">
        <v>609.17999999999995</v>
      </c>
      <c r="C81" s="4">
        <v>596.98</v>
      </c>
      <c r="D81" s="4">
        <v>593.55999999999995</v>
      </c>
      <c r="E81" s="4">
        <v>601.44000000000005</v>
      </c>
      <c r="F81" s="5">
        <v>-1.3275827212076541E-2</v>
      </c>
      <c r="G81" s="5">
        <v>-7.275923529555417E-3</v>
      </c>
    </row>
    <row r="82" spans="1:7" x14ac:dyDescent="0.35">
      <c r="A82" s="3">
        <v>44129</v>
      </c>
      <c r="B82" s="4">
        <v>597.54999999999995</v>
      </c>
      <c r="C82" s="4">
        <v>584.51</v>
      </c>
      <c r="D82" s="4">
        <v>601.44000000000005</v>
      </c>
      <c r="E82" s="4">
        <v>584.9</v>
      </c>
      <c r="F82" s="5">
        <v>2.7500665070497643E-2</v>
      </c>
      <c r="G82" s="5">
        <v>1.5004241910071547E-2</v>
      </c>
    </row>
    <row r="83" spans="1:7" x14ac:dyDescent="0.35">
      <c r="A83" s="3">
        <v>44130</v>
      </c>
      <c r="B83" s="4">
        <v>609.44000000000005</v>
      </c>
      <c r="C83" s="4">
        <v>557.41</v>
      </c>
      <c r="D83" s="4">
        <v>584.84</v>
      </c>
      <c r="E83" s="4">
        <v>569.55999999999995</v>
      </c>
      <c r="F83" s="5">
        <v>2.6226705419729934E-2</v>
      </c>
      <c r="G83" s="5">
        <v>3.2606555763362577E-2</v>
      </c>
    </row>
    <row r="84" spans="1:7" x14ac:dyDescent="0.35">
      <c r="A84" s="3">
        <v>44131</v>
      </c>
      <c r="B84" s="4">
        <v>606.02</v>
      </c>
      <c r="C84" s="4">
        <v>575.04</v>
      </c>
      <c r="D84" s="4">
        <v>570.74</v>
      </c>
      <c r="E84" s="4">
        <v>585</v>
      </c>
      <c r="F84" s="5">
        <v>-2.7108645270033094E-2</v>
      </c>
      <c r="G84" s="5">
        <v>-2.7040777390552329E-2</v>
      </c>
    </row>
    <row r="85" spans="1:7" x14ac:dyDescent="0.35">
      <c r="A85" s="3">
        <v>44132</v>
      </c>
      <c r="B85" s="4">
        <v>574.49</v>
      </c>
      <c r="C85" s="4">
        <v>538.21</v>
      </c>
      <c r="D85" s="4">
        <v>585</v>
      </c>
      <c r="E85" s="4">
        <v>544.19000000000005</v>
      </c>
      <c r="F85" s="5">
        <v>6.9760683760683673E-2</v>
      </c>
      <c r="G85" s="5">
        <v>3.7078317729231758E-2</v>
      </c>
    </row>
    <row r="86" spans="1:7" x14ac:dyDescent="0.35">
      <c r="A86" s="3">
        <v>44133</v>
      </c>
      <c r="B86" s="4">
        <v>558.95000000000005</v>
      </c>
      <c r="C86" s="4">
        <v>527.85</v>
      </c>
      <c r="D86" s="4">
        <v>544.19000000000005</v>
      </c>
      <c r="E86" s="4">
        <v>534.17999999999995</v>
      </c>
      <c r="F86" s="5">
        <v>1.8394310810562642E-2</v>
      </c>
      <c r="G86" s="5">
        <v>3.163824369164181E-3</v>
      </c>
    </row>
    <row r="87" spans="1:7" x14ac:dyDescent="0.35">
      <c r="A87" s="3">
        <v>44134</v>
      </c>
      <c r="B87" s="4">
        <v>544.66999999999996</v>
      </c>
      <c r="C87" s="4">
        <v>519.98</v>
      </c>
      <c r="D87" s="4">
        <v>534.17999999999995</v>
      </c>
      <c r="E87" s="4">
        <v>520.79999999999995</v>
      </c>
      <c r="F87" s="5">
        <v>2.5047736717960234E-2</v>
      </c>
      <c r="G87" s="5">
        <v>1.2334210662125256E-2</v>
      </c>
    </row>
    <row r="88" spans="1:7" x14ac:dyDescent="0.35">
      <c r="A88" s="3">
        <v>44135</v>
      </c>
      <c r="B88" s="4">
        <v>535.99</v>
      </c>
      <c r="C88" s="4">
        <v>521.08000000000004</v>
      </c>
      <c r="D88" s="4">
        <v>520.79999999999995</v>
      </c>
      <c r="E88" s="4">
        <v>524.53</v>
      </c>
      <c r="F88" s="5">
        <v>-7.16205837173578E-3</v>
      </c>
      <c r="G88" s="5">
        <v>-1.0476538823283477E-2</v>
      </c>
    </row>
    <row r="89" spans="1:7" x14ac:dyDescent="0.35">
      <c r="A89" s="3">
        <v>44136</v>
      </c>
      <c r="B89" s="4">
        <v>541.66</v>
      </c>
      <c r="C89" s="4">
        <v>522.53</v>
      </c>
      <c r="D89" s="4">
        <v>524.53</v>
      </c>
      <c r="E89" s="4">
        <v>540.84</v>
      </c>
      <c r="F89" s="5">
        <v>-3.1094503650887617E-2</v>
      </c>
      <c r="G89" s="5">
        <v>-2.5803449078263707E-2</v>
      </c>
    </row>
    <row r="90" spans="1:7" x14ac:dyDescent="0.35">
      <c r="A90" s="3">
        <v>44137</v>
      </c>
      <c r="B90" s="4">
        <v>547.19000000000005</v>
      </c>
      <c r="C90" s="4">
        <v>521.27</v>
      </c>
      <c r="D90" s="4">
        <v>540.84</v>
      </c>
      <c r="E90" s="4">
        <v>525.34</v>
      </c>
      <c r="F90" s="5">
        <v>2.8659122845943297E-2</v>
      </c>
      <c r="G90" s="5">
        <v>3.3119092627599156E-2</v>
      </c>
    </row>
    <row r="91" spans="1:7" x14ac:dyDescent="0.35">
      <c r="A91" s="3">
        <v>44138</v>
      </c>
      <c r="B91" s="4">
        <v>525.88</v>
      </c>
      <c r="C91" s="4">
        <v>502.46</v>
      </c>
      <c r="D91" s="4">
        <v>524.39</v>
      </c>
      <c r="E91" s="4">
        <v>521.01</v>
      </c>
      <c r="F91" s="5">
        <v>8.2422811893251291E-3</v>
      </c>
      <c r="G91" s="5">
        <v>-1.191314095044449E-2</v>
      </c>
    </row>
    <row r="92" spans="1:7" x14ac:dyDescent="0.35">
      <c r="A92" s="3">
        <v>44139</v>
      </c>
      <c r="B92" s="4">
        <v>522.03</v>
      </c>
      <c r="C92" s="4">
        <v>518.9</v>
      </c>
      <c r="D92" s="4">
        <v>521.01</v>
      </c>
      <c r="E92" s="4">
        <v>519.37</v>
      </c>
      <c r="F92" s="5">
        <v>3.1477322892075055E-3</v>
      </c>
      <c r="G92" s="5">
        <v>-1.5456746870001759E-4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5CA8B-E82B-420A-A661-99A7FEB5ACA0}">
  <sheetPr codeName="Sheet7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0</v>
      </c>
      <c r="C2" s="4">
        <v>0</v>
      </c>
      <c r="D2" s="4">
        <v>0</v>
      </c>
      <c r="E2" s="4">
        <v>0</v>
      </c>
    </row>
    <row r="3" spans="1:7" x14ac:dyDescent="0.35">
      <c r="A3" s="3">
        <v>44050</v>
      </c>
      <c r="B3" s="4">
        <v>0</v>
      </c>
      <c r="C3" s="4">
        <v>0</v>
      </c>
      <c r="D3" s="4">
        <v>0</v>
      </c>
      <c r="E3" s="4">
        <v>0</v>
      </c>
      <c r="G3" s="5">
        <v>3.9160591332523365E-2</v>
      </c>
    </row>
    <row r="4" spans="1:7" x14ac:dyDescent="0.35">
      <c r="A4" s="3">
        <v>44051</v>
      </c>
      <c r="B4" s="4">
        <v>0</v>
      </c>
      <c r="C4" s="4">
        <v>0</v>
      </c>
      <c r="D4" s="4">
        <v>0</v>
      </c>
      <c r="E4" s="4">
        <v>0</v>
      </c>
      <c r="G4" s="5">
        <v>-4.739573728166091E-2</v>
      </c>
    </row>
    <row r="5" spans="1:7" x14ac:dyDescent="0.35">
      <c r="A5" s="3">
        <v>44052</v>
      </c>
      <c r="B5" s="4">
        <v>0</v>
      </c>
      <c r="C5" s="4">
        <v>0</v>
      </c>
      <c r="D5" s="4">
        <v>0</v>
      </c>
      <c r="E5" s="4">
        <v>0</v>
      </c>
      <c r="G5" s="5">
        <v>1.8311701378408318E-2</v>
      </c>
    </row>
    <row r="6" spans="1:7" x14ac:dyDescent="0.35">
      <c r="A6" s="3">
        <v>44053</v>
      </c>
      <c r="B6" s="4">
        <v>0</v>
      </c>
      <c r="C6" s="4">
        <v>0</v>
      </c>
      <c r="D6" s="4">
        <v>0</v>
      </c>
      <c r="E6" s="4">
        <v>0</v>
      </c>
      <c r="G6" s="5">
        <v>-1.3913088039356314E-2</v>
      </c>
    </row>
    <row r="7" spans="1:7" x14ac:dyDescent="0.35">
      <c r="A7" s="3">
        <v>44054</v>
      </c>
      <c r="B7" s="4">
        <v>0</v>
      </c>
      <c r="C7" s="4">
        <v>0</v>
      </c>
      <c r="D7" s="4">
        <v>0</v>
      </c>
      <c r="E7" s="4">
        <v>0</v>
      </c>
      <c r="G7" s="5">
        <v>4.2379520355816047E-2</v>
      </c>
    </row>
    <row r="8" spans="1:7" x14ac:dyDescent="0.35">
      <c r="A8" s="3">
        <v>44055</v>
      </c>
      <c r="B8" s="4">
        <v>0</v>
      </c>
      <c r="C8" s="4">
        <v>0</v>
      </c>
      <c r="D8" s="4">
        <v>0</v>
      </c>
      <c r="E8" s="4">
        <v>0</v>
      </c>
      <c r="G8" s="5">
        <v>-2.1771256663323912E-2</v>
      </c>
    </row>
    <row r="9" spans="1:7" x14ac:dyDescent="0.35">
      <c r="A9" s="3">
        <v>44056</v>
      </c>
      <c r="B9" s="4">
        <v>0</v>
      </c>
      <c r="C9" s="4">
        <v>0</v>
      </c>
      <c r="D9" s="4">
        <v>0</v>
      </c>
      <c r="E9" s="4">
        <v>0</v>
      </c>
      <c r="G9" s="5">
        <v>-9.7574834060797144E-2</v>
      </c>
    </row>
    <row r="10" spans="1:7" x14ac:dyDescent="0.35">
      <c r="A10" s="3">
        <v>44057</v>
      </c>
      <c r="B10" s="4">
        <v>0</v>
      </c>
      <c r="C10" s="4">
        <v>0</v>
      </c>
      <c r="D10" s="4">
        <v>0</v>
      </c>
      <c r="E10" s="4">
        <v>0</v>
      </c>
      <c r="G10" s="5">
        <v>-3.1861072546297331E-2</v>
      </c>
    </row>
    <row r="11" spans="1:7" x14ac:dyDescent="0.35">
      <c r="A11" s="3">
        <v>44058</v>
      </c>
      <c r="B11" s="4">
        <v>0</v>
      </c>
      <c r="C11" s="4">
        <v>0</v>
      </c>
      <c r="D11" s="4">
        <v>0</v>
      </c>
      <c r="E11" s="4">
        <v>0</v>
      </c>
      <c r="G11" s="5">
        <v>1.3545871245809638E-2</v>
      </c>
    </row>
    <row r="12" spans="1:7" x14ac:dyDescent="0.35">
      <c r="A12" s="3">
        <v>44059</v>
      </c>
      <c r="B12" s="4">
        <v>0</v>
      </c>
      <c r="C12" s="4">
        <v>0</v>
      </c>
      <c r="D12" s="4">
        <v>0</v>
      </c>
      <c r="E12" s="4">
        <v>0</v>
      </c>
      <c r="G12" s="5">
        <v>-2.9590586494672166E-3</v>
      </c>
    </row>
    <row r="13" spans="1:7" x14ac:dyDescent="0.35">
      <c r="A13" s="3">
        <v>44060</v>
      </c>
      <c r="B13" s="4">
        <v>0</v>
      </c>
      <c r="C13" s="4">
        <v>0</v>
      </c>
      <c r="D13" s="4">
        <v>0</v>
      </c>
      <c r="E13" s="4">
        <v>0</v>
      </c>
      <c r="G13" s="5">
        <v>5.9698052322232353E-3</v>
      </c>
    </row>
    <row r="14" spans="1:7" x14ac:dyDescent="0.35">
      <c r="A14" s="3">
        <v>44061</v>
      </c>
      <c r="B14" s="4">
        <v>0</v>
      </c>
      <c r="C14" s="4">
        <v>0</v>
      </c>
      <c r="D14" s="4">
        <v>0</v>
      </c>
      <c r="E14" s="4">
        <v>0</v>
      </c>
      <c r="G14" s="5">
        <v>2.1031396373417444E-2</v>
      </c>
    </row>
    <row r="15" spans="1:7" x14ac:dyDescent="0.35">
      <c r="A15" s="3">
        <v>44062</v>
      </c>
      <c r="B15" s="4">
        <v>0</v>
      </c>
      <c r="C15" s="4">
        <v>0</v>
      </c>
      <c r="D15" s="4">
        <v>0</v>
      </c>
      <c r="E15" s="4">
        <v>0</v>
      </c>
      <c r="G15" s="5">
        <v>3.3965750017764473E-2</v>
      </c>
    </row>
    <row r="16" spans="1:7" x14ac:dyDescent="0.35">
      <c r="A16" s="3">
        <v>44063</v>
      </c>
      <c r="B16" s="4">
        <v>0</v>
      </c>
      <c r="C16" s="4">
        <v>0</v>
      </c>
      <c r="D16" s="4">
        <v>0</v>
      </c>
      <c r="E16" s="4">
        <v>0</v>
      </c>
      <c r="G16" s="5">
        <v>-2.0080912100036707E-2</v>
      </c>
    </row>
    <row r="17" spans="1:7" x14ac:dyDescent="0.35">
      <c r="A17" s="3">
        <v>44064</v>
      </c>
      <c r="B17" s="4">
        <v>0</v>
      </c>
      <c r="C17" s="4">
        <v>0</v>
      </c>
      <c r="D17" s="4">
        <v>0</v>
      </c>
      <c r="E17" s="4">
        <v>0</v>
      </c>
      <c r="G17" s="5">
        <v>6.7445437938659758E-2</v>
      </c>
    </row>
    <row r="18" spans="1:7" x14ac:dyDescent="0.35">
      <c r="A18" s="3">
        <v>44065</v>
      </c>
      <c r="B18" s="4">
        <v>0</v>
      </c>
      <c r="C18" s="4">
        <v>0</v>
      </c>
      <c r="D18" s="4">
        <v>0</v>
      </c>
      <c r="E18" s="4">
        <v>0</v>
      </c>
      <c r="G18" s="5">
        <v>-1.9279344296097678E-2</v>
      </c>
    </row>
    <row r="19" spans="1:7" x14ac:dyDescent="0.35">
      <c r="A19" s="3">
        <v>44066</v>
      </c>
      <c r="B19" s="4">
        <v>0</v>
      </c>
      <c r="C19" s="4">
        <v>0</v>
      </c>
      <c r="D19" s="4">
        <v>0</v>
      </c>
      <c r="E19" s="4">
        <v>0</v>
      </c>
      <c r="G19" s="5">
        <v>1.1986041571840245E-2</v>
      </c>
    </row>
    <row r="20" spans="1:7" x14ac:dyDescent="0.35">
      <c r="A20" s="3">
        <v>44067</v>
      </c>
      <c r="B20" s="4">
        <v>0</v>
      </c>
      <c r="C20" s="4">
        <v>0</v>
      </c>
      <c r="D20" s="4">
        <v>0</v>
      </c>
      <c r="E20" s="4">
        <v>0</v>
      </c>
      <c r="G20" s="5">
        <v>-4.4302825552825498E-2</v>
      </c>
    </row>
    <row r="21" spans="1:7" x14ac:dyDescent="0.35">
      <c r="A21" s="3">
        <v>44068</v>
      </c>
      <c r="B21" s="4">
        <v>0</v>
      </c>
      <c r="C21" s="4">
        <v>0</v>
      </c>
      <c r="D21" s="4">
        <v>0</v>
      </c>
      <c r="E21" s="4">
        <v>0</v>
      </c>
      <c r="G21" s="5">
        <v>6.051025659877951E-2</v>
      </c>
    </row>
    <row r="22" spans="1:7" x14ac:dyDescent="0.35">
      <c r="A22" s="3">
        <v>44069</v>
      </c>
      <c r="B22" s="4">
        <v>0</v>
      </c>
      <c r="C22" s="4">
        <v>0</v>
      </c>
      <c r="D22" s="4">
        <v>0</v>
      </c>
      <c r="E22" s="4">
        <v>0</v>
      </c>
      <c r="G22" s="5">
        <v>-6.9911827620390277E-3</v>
      </c>
    </row>
    <row r="23" spans="1:7" x14ac:dyDescent="0.35">
      <c r="A23" s="3">
        <v>44070</v>
      </c>
      <c r="B23" s="4">
        <v>0</v>
      </c>
      <c r="C23" s="4">
        <v>0</v>
      </c>
      <c r="D23" s="4">
        <v>0</v>
      </c>
      <c r="E23" s="4">
        <v>0</v>
      </c>
      <c r="G23" s="5">
        <v>7.8493342313868952E-3</v>
      </c>
    </row>
    <row r="24" spans="1:7" x14ac:dyDescent="0.35">
      <c r="A24" s="3">
        <v>44071</v>
      </c>
      <c r="B24" s="4">
        <v>0</v>
      </c>
      <c r="C24" s="4">
        <v>0</v>
      </c>
      <c r="D24" s="4">
        <v>0</v>
      </c>
      <c r="E24" s="4">
        <v>0</v>
      </c>
      <c r="G24" s="5">
        <v>-3.2768479594767586E-2</v>
      </c>
    </row>
    <row r="25" spans="1:7" x14ac:dyDescent="0.35">
      <c r="A25" s="3">
        <v>44072</v>
      </c>
      <c r="B25" s="4">
        <v>0</v>
      </c>
      <c r="C25" s="4">
        <v>0</v>
      </c>
      <c r="D25" s="4">
        <v>0</v>
      </c>
      <c r="E25" s="4">
        <v>0</v>
      </c>
      <c r="G25" s="5">
        <v>-8.6211255498811479E-3</v>
      </c>
    </row>
    <row r="26" spans="1:7" x14ac:dyDescent="0.35">
      <c r="A26" s="3">
        <v>44073</v>
      </c>
      <c r="B26" s="4">
        <v>0</v>
      </c>
      <c r="C26" s="4">
        <v>0</v>
      </c>
      <c r="D26" s="4">
        <v>0</v>
      </c>
      <c r="E26" s="4">
        <v>0</v>
      </c>
      <c r="G26" s="5">
        <v>-7.5773906504574606E-2</v>
      </c>
    </row>
    <row r="27" spans="1:7" x14ac:dyDescent="0.35">
      <c r="A27" s="3">
        <v>44074</v>
      </c>
      <c r="B27" s="4">
        <v>0</v>
      </c>
      <c r="C27" s="4">
        <v>0</v>
      </c>
      <c r="D27" s="4">
        <v>0</v>
      </c>
      <c r="E27" s="4">
        <v>0</v>
      </c>
      <c r="G27" s="5">
        <v>-1.1556922503378475E-2</v>
      </c>
    </row>
    <row r="28" spans="1:7" x14ac:dyDescent="0.35">
      <c r="A28" s="3">
        <v>44075</v>
      </c>
      <c r="B28" s="4">
        <v>0</v>
      </c>
      <c r="C28" s="4">
        <v>0</v>
      </c>
      <c r="D28" s="4">
        <v>0</v>
      </c>
      <c r="E28" s="4">
        <v>0</v>
      </c>
      <c r="G28" s="5">
        <v>-9.6397475468742888E-2</v>
      </c>
    </row>
    <row r="29" spans="1:7" x14ac:dyDescent="0.35">
      <c r="A29" s="3">
        <v>44076</v>
      </c>
      <c r="B29" s="4">
        <v>0</v>
      </c>
      <c r="C29" s="4">
        <v>0</v>
      </c>
      <c r="D29" s="4">
        <v>0</v>
      </c>
      <c r="E29" s="4">
        <v>0</v>
      </c>
      <c r="G29" s="5">
        <v>7.5967982520641186E-2</v>
      </c>
    </row>
    <row r="30" spans="1:7" x14ac:dyDescent="0.35">
      <c r="A30" s="3">
        <v>44077</v>
      </c>
      <c r="B30" s="4">
        <v>0</v>
      </c>
      <c r="C30" s="4">
        <v>0</v>
      </c>
      <c r="D30" s="4">
        <v>0</v>
      </c>
      <c r="E30" s="4">
        <v>0</v>
      </c>
      <c r="G30" s="5">
        <v>0.1304367596571403</v>
      </c>
    </row>
    <row r="31" spans="1:7" x14ac:dyDescent="0.35">
      <c r="A31" s="3">
        <v>44078</v>
      </c>
      <c r="B31" s="4">
        <v>0</v>
      </c>
      <c r="C31" s="4">
        <v>0</v>
      </c>
      <c r="D31" s="4">
        <v>0</v>
      </c>
      <c r="E31" s="4">
        <v>0</v>
      </c>
      <c r="G31" s="5">
        <v>-9.0205511687497797E-3</v>
      </c>
    </row>
    <row r="32" spans="1:7" x14ac:dyDescent="0.35">
      <c r="A32" s="3">
        <v>44079</v>
      </c>
      <c r="B32" s="4">
        <v>0</v>
      </c>
      <c r="C32" s="4">
        <v>0</v>
      </c>
      <c r="D32" s="4">
        <v>0</v>
      </c>
      <c r="E32" s="4">
        <v>0</v>
      </c>
      <c r="G32" s="5">
        <v>0.13130004405172191</v>
      </c>
    </row>
    <row r="33" spans="1:7" x14ac:dyDescent="0.35">
      <c r="A33" s="3">
        <v>44080</v>
      </c>
      <c r="B33" s="4">
        <v>0</v>
      </c>
      <c r="C33" s="4">
        <v>0</v>
      </c>
      <c r="D33" s="4">
        <v>0</v>
      </c>
      <c r="E33" s="4">
        <v>0</v>
      </c>
      <c r="G33" s="5">
        <v>-5.2052261066698469E-2</v>
      </c>
    </row>
    <row r="34" spans="1:7" x14ac:dyDescent="0.35">
      <c r="A34" s="3">
        <v>44081</v>
      </c>
      <c r="B34" s="4">
        <v>0</v>
      </c>
      <c r="C34" s="4">
        <v>0</v>
      </c>
      <c r="D34" s="4">
        <v>0</v>
      </c>
      <c r="E34" s="4">
        <v>0</v>
      </c>
      <c r="G34" s="5">
        <v>-2.8637046698234414E-3</v>
      </c>
    </row>
    <row r="35" spans="1:7" x14ac:dyDescent="0.35">
      <c r="A35" s="3">
        <v>44082</v>
      </c>
      <c r="B35" s="4">
        <v>0</v>
      </c>
      <c r="C35" s="4">
        <v>0</v>
      </c>
      <c r="D35" s="4">
        <v>0</v>
      </c>
      <c r="E35" s="4">
        <v>0</v>
      </c>
      <c r="G35" s="5">
        <v>4.5942889454339886E-2</v>
      </c>
    </row>
    <row r="36" spans="1:7" x14ac:dyDescent="0.35">
      <c r="A36" s="3">
        <v>44083</v>
      </c>
      <c r="B36" s="4">
        <v>0</v>
      </c>
      <c r="C36" s="4">
        <v>0</v>
      </c>
      <c r="D36" s="4">
        <v>0</v>
      </c>
      <c r="E36" s="4">
        <v>0</v>
      </c>
      <c r="G36" s="5">
        <v>-4.0598607201066894E-2</v>
      </c>
    </row>
    <row r="37" spans="1:7" x14ac:dyDescent="0.35">
      <c r="A37" s="3">
        <v>44084</v>
      </c>
      <c r="B37" s="4">
        <v>0</v>
      </c>
      <c r="C37" s="4">
        <v>0</v>
      </c>
      <c r="D37" s="4">
        <v>0</v>
      </c>
      <c r="E37" s="4">
        <v>0</v>
      </c>
      <c r="G37" s="5">
        <v>-4.8241492239783579E-2</v>
      </c>
    </row>
    <row r="38" spans="1:7" x14ac:dyDescent="0.35">
      <c r="A38" s="3">
        <v>44085</v>
      </c>
      <c r="B38" s="4">
        <v>0</v>
      </c>
      <c r="C38" s="4">
        <v>0</v>
      </c>
      <c r="D38" s="4">
        <v>0</v>
      </c>
      <c r="E38" s="4">
        <v>0</v>
      </c>
      <c r="G38" s="5">
        <v>-1.6028688635931543E-2</v>
      </c>
    </row>
    <row r="39" spans="1:7" x14ac:dyDescent="0.35">
      <c r="A39" s="3">
        <v>44086</v>
      </c>
      <c r="B39" s="4">
        <v>0</v>
      </c>
      <c r="C39" s="4">
        <v>0</v>
      </c>
      <c r="D39" s="4">
        <v>0</v>
      </c>
      <c r="E39" s="4">
        <v>0</v>
      </c>
      <c r="G39" s="5">
        <v>-3.7567849407738274E-2</v>
      </c>
    </row>
    <row r="40" spans="1:7" x14ac:dyDescent="0.35">
      <c r="A40" s="3">
        <v>44087</v>
      </c>
      <c r="B40" s="4">
        <v>0</v>
      </c>
      <c r="C40" s="4">
        <v>0</v>
      </c>
      <c r="D40" s="4">
        <v>0</v>
      </c>
      <c r="E40" s="4">
        <v>0</v>
      </c>
      <c r="G40" s="5">
        <v>5.6076693124420318E-2</v>
      </c>
    </row>
    <row r="41" spans="1:7" x14ac:dyDescent="0.35">
      <c r="A41" s="3">
        <v>44088</v>
      </c>
      <c r="B41" s="4">
        <v>0</v>
      </c>
      <c r="C41" s="4">
        <v>0</v>
      </c>
      <c r="D41" s="4">
        <v>0</v>
      </c>
      <c r="E41" s="4">
        <v>0</v>
      </c>
      <c r="G41" s="5">
        <v>-2.9977066724909962E-2</v>
      </c>
    </row>
    <row r="42" spans="1:7" x14ac:dyDescent="0.35">
      <c r="A42" s="3">
        <v>44089</v>
      </c>
      <c r="B42" s="4">
        <v>0</v>
      </c>
      <c r="C42" s="4">
        <v>0</v>
      </c>
      <c r="D42" s="4">
        <v>0</v>
      </c>
      <c r="E42" s="4">
        <v>0</v>
      </c>
      <c r="G42" s="5">
        <v>3.4724062980437842E-2</v>
      </c>
    </row>
    <row r="43" spans="1:7" x14ac:dyDescent="0.35">
      <c r="A43" s="3">
        <v>44090</v>
      </c>
      <c r="B43" s="4">
        <v>0</v>
      </c>
      <c r="C43" s="4">
        <v>0</v>
      </c>
      <c r="D43" s="4">
        <v>0</v>
      </c>
      <c r="E43" s="4">
        <v>0</v>
      </c>
      <c r="G43" s="5">
        <v>-2.5538224956060951E-3</v>
      </c>
    </row>
    <row r="44" spans="1:7" x14ac:dyDescent="0.35">
      <c r="A44" s="3">
        <v>44091</v>
      </c>
      <c r="B44" s="4">
        <v>0</v>
      </c>
      <c r="C44" s="4">
        <v>0</v>
      </c>
      <c r="D44" s="4">
        <v>0</v>
      </c>
      <c r="E44" s="4">
        <v>0</v>
      </c>
      <c r="G44" s="5">
        <v>-6.6969788271385333E-2</v>
      </c>
    </row>
    <row r="45" spans="1:7" x14ac:dyDescent="0.35">
      <c r="A45" s="3">
        <v>44092</v>
      </c>
      <c r="B45" s="4">
        <v>0</v>
      </c>
      <c r="C45" s="4">
        <v>0</v>
      </c>
      <c r="D45" s="4">
        <v>0</v>
      </c>
      <c r="E45" s="4">
        <v>0</v>
      </c>
      <c r="G45" s="5">
        <v>1.3015351440160194E-2</v>
      </c>
    </row>
    <row r="46" spans="1:7" x14ac:dyDescent="0.35">
      <c r="A46" s="3">
        <v>44093</v>
      </c>
      <c r="B46" s="4">
        <v>0</v>
      </c>
      <c r="C46" s="4">
        <v>0</v>
      </c>
      <c r="D46" s="4">
        <v>0</v>
      </c>
      <c r="E46" s="4">
        <v>0</v>
      </c>
      <c r="G46" s="5">
        <v>-2.0807865373109191E-3</v>
      </c>
    </row>
    <row r="47" spans="1:7" x14ac:dyDescent="0.35">
      <c r="A47" s="3">
        <v>44094</v>
      </c>
      <c r="B47" s="4">
        <v>0</v>
      </c>
      <c r="C47" s="4">
        <v>0</v>
      </c>
      <c r="D47" s="4">
        <v>0</v>
      </c>
      <c r="E47" s="4">
        <v>0</v>
      </c>
      <c r="G47" s="5">
        <v>3.6987048044228699E-2</v>
      </c>
    </row>
    <row r="48" spans="1:7" x14ac:dyDescent="0.35">
      <c r="A48" s="3">
        <v>44095</v>
      </c>
      <c r="B48" s="4">
        <v>0</v>
      </c>
      <c r="C48" s="4">
        <v>0</v>
      </c>
      <c r="D48" s="4">
        <v>0</v>
      </c>
      <c r="E48" s="4">
        <v>0</v>
      </c>
      <c r="G48" s="5">
        <v>8.3095250929869025E-2</v>
      </c>
    </row>
    <row r="49" spans="1:7" x14ac:dyDescent="0.35">
      <c r="A49" s="3">
        <v>44096</v>
      </c>
      <c r="B49" s="4">
        <v>0</v>
      </c>
      <c r="C49" s="4">
        <v>0</v>
      </c>
      <c r="D49" s="4">
        <v>0</v>
      </c>
      <c r="E49" s="4">
        <v>0</v>
      </c>
      <c r="G49" s="5">
        <v>-1.1934507187160159E-2</v>
      </c>
    </row>
    <row r="50" spans="1:7" x14ac:dyDescent="0.35">
      <c r="A50" s="3">
        <v>44097</v>
      </c>
      <c r="B50" s="4">
        <v>0</v>
      </c>
      <c r="C50" s="4">
        <v>0</v>
      </c>
      <c r="D50" s="4">
        <v>0</v>
      </c>
      <c r="E50" s="4">
        <v>0</v>
      </c>
      <c r="G50" s="5">
        <v>6.989106753812635E-2</v>
      </c>
    </row>
    <row r="51" spans="1:7" x14ac:dyDescent="0.35">
      <c r="A51" s="3">
        <v>44098</v>
      </c>
      <c r="B51" s="4">
        <v>0</v>
      </c>
      <c r="C51" s="4">
        <v>0</v>
      </c>
      <c r="D51" s="4">
        <v>0</v>
      </c>
      <c r="E51" s="4">
        <v>0</v>
      </c>
      <c r="G51" s="5">
        <v>-9.0539991879821313E-2</v>
      </c>
    </row>
    <row r="52" spans="1:7" x14ac:dyDescent="0.35">
      <c r="A52" s="3">
        <v>44099</v>
      </c>
      <c r="B52" s="4">
        <v>0</v>
      </c>
      <c r="C52" s="4">
        <v>0</v>
      </c>
      <c r="D52" s="4">
        <v>0</v>
      </c>
      <c r="E52" s="4">
        <v>0</v>
      </c>
      <c r="G52" s="5">
        <v>-8.133340970273073E-3</v>
      </c>
    </row>
    <row r="53" spans="1:7" x14ac:dyDescent="0.35">
      <c r="A53" s="3">
        <v>44100</v>
      </c>
      <c r="B53" s="4">
        <v>0</v>
      </c>
      <c r="C53" s="4">
        <v>0</v>
      </c>
      <c r="D53" s="4">
        <v>0</v>
      </c>
      <c r="E53" s="4">
        <v>0</v>
      </c>
      <c r="G53" s="5">
        <v>-6.2780523833874113E-3</v>
      </c>
    </row>
    <row r="54" spans="1:7" x14ac:dyDescent="0.35">
      <c r="A54" s="3">
        <v>44101</v>
      </c>
      <c r="B54" s="4">
        <v>0</v>
      </c>
      <c r="C54" s="4">
        <v>0</v>
      </c>
      <c r="D54" s="4">
        <v>0</v>
      </c>
      <c r="E54" s="4">
        <v>0</v>
      </c>
      <c r="G54" s="5">
        <v>-9.8805860599044948E-3</v>
      </c>
    </row>
    <row r="55" spans="1:7" x14ac:dyDescent="0.35">
      <c r="A55" s="3">
        <v>44102</v>
      </c>
      <c r="B55" s="4">
        <v>0</v>
      </c>
      <c r="C55" s="4">
        <v>0</v>
      </c>
      <c r="D55" s="4">
        <v>0</v>
      </c>
      <c r="E55" s="4">
        <v>0</v>
      </c>
      <c r="G55" s="5">
        <v>1.0398904201492809E-2</v>
      </c>
    </row>
    <row r="56" spans="1:7" x14ac:dyDescent="0.35">
      <c r="A56" s="3">
        <v>44103</v>
      </c>
      <c r="B56" s="4">
        <v>0</v>
      </c>
      <c r="C56" s="4">
        <v>0</v>
      </c>
      <c r="D56" s="4">
        <v>0</v>
      </c>
      <c r="E56" s="4">
        <v>0</v>
      </c>
      <c r="G56" s="5">
        <v>-1.6694443659783786E-2</v>
      </c>
    </row>
    <row r="57" spans="1:7" x14ac:dyDescent="0.35">
      <c r="A57" s="3">
        <v>44104</v>
      </c>
      <c r="B57" s="4">
        <v>0</v>
      </c>
      <c r="C57" s="4">
        <v>0</v>
      </c>
      <c r="D57" s="4">
        <v>0</v>
      </c>
      <c r="E57" s="4">
        <v>0</v>
      </c>
      <c r="G57" s="5">
        <v>2.7783951989335254E-4</v>
      </c>
    </row>
    <row r="58" spans="1:7" x14ac:dyDescent="0.35">
      <c r="A58" s="3">
        <v>44105</v>
      </c>
      <c r="B58" s="4">
        <v>0</v>
      </c>
      <c r="C58" s="4">
        <v>0</v>
      </c>
      <c r="D58" s="4">
        <v>0</v>
      </c>
      <c r="E58" s="4">
        <v>0</v>
      </c>
      <c r="G58" s="5">
        <v>1.8370296259240804E-2</v>
      </c>
    </row>
    <row r="59" spans="1:7" x14ac:dyDescent="0.35">
      <c r="A59" s="3">
        <v>44106</v>
      </c>
      <c r="B59" s="4">
        <v>0</v>
      </c>
      <c r="C59" s="4">
        <v>0</v>
      </c>
      <c r="D59" s="4">
        <v>0</v>
      </c>
      <c r="E59" s="4">
        <v>0</v>
      </c>
      <c r="G59" s="5">
        <v>2.0894085671413598E-2</v>
      </c>
    </row>
    <row r="60" spans="1:7" x14ac:dyDescent="0.35">
      <c r="A60" s="3">
        <v>44107</v>
      </c>
      <c r="B60" s="4">
        <v>0</v>
      </c>
      <c r="C60" s="4">
        <v>0</v>
      </c>
      <c r="D60" s="4">
        <v>0</v>
      </c>
      <c r="E60" s="4">
        <v>0</v>
      </c>
      <c r="G60" s="5">
        <v>-1.4168811265651282E-3</v>
      </c>
    </row>
    <row r="61" spans="1:7" x14ac:dyDescent="0.35">
      <c r="A61" s="3">
        <v>44108</v>
      </c>
      <c r="B61" s="4">
        <v>0</v>
      </c>
      <c r="C61" s="4">
        <v>0</v>
      </c>
      <c r="D61" s="4">
        <v>0</v>
      </c>
      <c r="E61" s="4">
        <v>0</v>
      </c>
      <c r="G61" s="5">
        <v>-1.816239316239332E-2</v>
      </c>
    </row>
    <row r="62" spans="1:7" x14ac:dyDescent="0.35">
      <c r="A62" s="3">
        <v>44109</v>
      </c>
      <c r="B62" s="4">
        <v>0</v>
      </c>
      <c r="C62" s="4">
        <v>0</v>
      </c>
      <c r="D62" s="4">
        <v>0</v>
      </c>
      <c r="E62" s="4">
        <v>0</v>
      </c>
      <c r="G62" s="5">
        <v>-3.2613936076684169E-3</v>
      </c>
    </row>
    <row r="63" spans="1:7" x14ac:dyDescent="0.35">
      <c r="A63" s="3">
        <v>44110</v>
      </c>
      <c r="B63" s="4">
        <v>0</v>
      </c>
      <c r="C63" s="4">
        <v>0</v>
      </c>
      <c r="D63" s="4">
        <v>0</v>
      </c>
      <c r="E63" s="4">
        <v>0</v>
      </c>
      <c r="G63" s="5">
        <v>3.6493668023518722E-2</v>
      </c>
    </row>
    <row r="64" spans="1:7" x14ac:dyDescent="0.35">
      <c r="A64" s="3">
        <v>44111</v>
      </c>
      <c r="B64" s="4">
        <v>0</v>
      </c>
      <c r="C64" s="4">
        <v>0</v>
      </c>
      <c r="D64" s="4">
        <v>0</v>
      </c>
      <c r="E64" s="4">
        <v>0</v>
      </c>
      <c r="G64" s="5">
        <v>-3.1098723778788528E-3</v>
      </c>
    </row>
    <row r="65" spans="1:7" x14ac:dyDescent="0.35">
      <c r="A65" s="3">
        <v>44112</v>
      </c>
      <c r="B65" s="4">
        <v>0</v>
      </c>
      <c r="C65" s="4">
        <v>0</v>
      </c>
      <c r="D65" s="4">
        <v>0</v>
      </c>
      <c r="E65" s="4">
        <v>0</v>
      </c>
      <c r="G65" s="5">
        <v>-2.7170892925038714E-2</v>
      </c>
    </row>
    <row r="66" spans="1:7" x14ac:dyDescent="0.35">
      <c r="A66" s="3">
        <v>44113</v>
      </c>
      <c r="B66" s="4">
        <v>0</v>
      </c>
      <c r="C66" s="4">
        <v>0</v>
      </c>
      <c r="D66" s="4">
        <v>0</v>
      </c>
      <c r="E66" s="4">
        <v>0</v>
      </c>
      <c r="G66" s="5">
        <v>-4.0461275626423765E-2</v>
      </c>
    </row>
    <row r="67" spans="1:7" x14ac:dyDescent="0.35">
      <c r="A67" s="3">
        <v>44114</v>
      </c>
      <c r="B67" s="4">
        <v>51.08</v>
      </c>
      <c r="C67" s="4">
        <v>51.08</v>
      </c>
      <c r="D67" s="4">
        <v>51.08</v>
      </c>
      <c r="E67" s="4">
        <v>51.08</v>
      </c>
      <c r="G67" s="5">
        <v>-1.4969486330423276E-2</v>
      </c>
    </row>
    <row r="68" spans="1:7" x14ac:dyDescent="0.35">
      <c r="A68" s="3">
        <v>44115</v>
      </c>
      <c r="B68" s="4">
        <v>51.08</v>
      </c>
      <c r="C68" s="4">
        <v>51.08</v>
      </c>
      <c r="D68" s="4">
        <v>51.08</v>
      </c>
      <c r="E68" s="4">
        <v>51.08</v>
      </c>
      <c r="F68" s="5">
        <v>0</v>
      </c>
      <c r="G68" s="5">
        <v>-9.4100517687663032E-3</v>
      </c>
    </row>
    <row r="69" spans="1:7" x14ac:dyDescent="0.35">
      <c r="A69" s="3">
        <v>44116</v>
      </c>
      <c r="B69" s="4">
        <v>52.4</v>
      </c>
      <c r="C69" s="4">
        <v>48.34</v>
      </c>
      <c r="D69" s="4">
        <v>51.08</v>
      </c>
      <c r="E69" s="4">
        <v>51.42</v>
      </c>
      <c r="F69" s="5">
        <v>-6.6562255285826932E-3</v>
      </c>
      <c r="G69" s="5">
        <v>-3.3496273739882954E-2</v>
      </c>
    </row>
    <row r="70" spans="1:7" x14ac:dyDescent="0.35">
      <c r="A70" s="3">
        <v>44117</v>
      </c>
      <c r="B70" s="4">
        <v>53.04</v>
      </c>
      <c r="C70" s="4">
        <v>49.76</v>
      </c>
      <c r="D70" s="4">
        <v>51.42</v>
      </c>
      <c r="E70" s="4">
        <v>51.6</v>
      </c>
      <c r="F70" s="5">
        <v>-3.500583430571691E-3</v>
      </c>
      <c r="G70" s="5">
        <v>1.421519216355227E-2</v>
      </c>
    </row>
    <row r="71" spans="1:7" x14ac:dyDescent="0.35">
      <c r="A71" s="3">
        <v>44118</v>
      </c>
      <c r="B71" s="4">
        <v>57.02</v>
      </c>
      <c r="C71" s="4">
        <v>51.6</v>
      </c>
      <c r="D71" s="4">
        <v>51.6</v>
      </c>
      <c r="E71" s="4">
        <v>52.59</v>
      </c>
      <c r="F71" s="5">
        <v>-1.918604651162803E-2</v>
      </c>
      <c r="G71" s="5">
        <v>6.0302561547941336E-3</v>
      </c>
    </row>
    <row r="72" spans="1:7" x14ac:dyDescent="0.35">
      <c r="A72" s="3">
        <v>44119</v>
      </c>
      <c r="B72" s="4">
        <v>57.08</v>
      </c>
      <c r="C72" s="4">
        <v>40.19</v>
      </c>
      <c r="D72" s="4">
        <v>56.69</v>
      </c>
      <c r="E72" s="4">
        <v>42.95</v>
      </c>
      <c r="F72" s="5">
        <v>0.1833048108005324</v>
      </c>
      <c r="G72" s="5">
        <v>3.7192371607185359E-3</v>
      </c>
    </row>
    <row r="73" spans="1:7" x14ac:dyDescent="0.35">
      <c r="A73" s="3">
        <v>44120</v>
      </c>
      <c r="B73" s="4">
        <v>43.44</v>
      </c>
      <c r="C73" s="4">
        <v>39.049999999999997</v>
      </c>
      <c r="D73" s="4">
        <v>42.95</v>
      </c>
      <c r="E73" s="4">
        <v>39.340000000000003</v>
      </c>
      <c r="F73" s="5">
        <v>8.4051222351571586E-2</v>
      </c>
      <c r="G73" s="5">
        <v>3.2088959491660018E-2</v>
      </c>
    </row>
    <row r="74" spans="1:7" x14ac:dyDescent="0.35">
      <c r="A74" s="3">
        <v>44121</v>
      </c>
      <c r="B74" s="4">
        <v>43.2</v>
      </c>
      <c r="C74" s="4">
        <v>38.67</v>
      </c>
      <c r="D74" s="4">
        <v>39.340000000000003</v>
      </c>
      <c r="E74" s="4">
        <v>41.39</v>
      </c>
      <c r="F74" s="5">
        <v>-5.2109811896288605E-2</v>
      </c>
      <c r="G74" s="5">
        <v>-8.3976147491657827E-3</v>
      </c>
    </row>
    <row r="75" spans="1:7" x14ac:dyDescent="0.35">
      <c r="A75" s="3">
        <v>44122</v>
      </c>
      <c r="B75" s="4">
        <v>41.97</v>
      </c>
      <c r="C75" s="4">
        <v>39.01</v>
      </c>
      <c r="D75" s="4">
        <v>41.39</v>
      </c>
      <c r="E75" s="4">
        <v>40.85</v>
      </c>
      <c r="F75" s="5">
        <v>1.304662962068126E-2</v>
      </c>
      <c r="G75" s="5">
        <v>-2.6556354265563575E-2</v>
      </c>
    </row>
    <row r="76" spans="1:7" x14ac:dyDescent="0.35">
      <c r="A76" s="3">
        <v>44123</v>
      </c>
      <c r="B76" s="4">
        <v>41.85</v>
      </c>
      <c r="C76" s="4">
        <v>35.729999999999997</v>
      </c>
      <c r="D76" s="4">
        <v>40.85</v>
      </c>
      <c r="E76" s="4">
        <v>36.03</v>
      </c>
      <c r="F76" s="5">
        <v>0.11799265605875153</v>
      </c>
      <c r="G76" s="5">
        <v>-2.5631540006343378E-3</v>
      </c>
    </row>
    <row r="77" spans="1:7" x14ac:dyDescent="0.35">
      <c r="A77" s="3">
        <v>44124</v>
      </c>
      <c r="B77" s="4">
        <v>36.979999999999997</v>
      </c>
      <c r="C77" s="4">
        <v>32.03</v>
      </c>
      <c r="D77" s="4">
        <v>36.03</v>
      </c>
      <c r="E77" s="4">
        <v>32.200000000000003</v>
      </c>
      <c r="F77" s="5">
        <v>0.10630030530113788</v>
      </c>
      <c r="G77" s="5">
        <v>2.8122611422998878E-2</v>
      </c>
    </row>
    <row r="78" spans="1:7" x14ac:dyDescent="0.35">
      <c r="A78" s="3">
        <v>44125</v>
      </c>
      <c r="B78" s="4">
        <v>37.31</v>
      </c>
      <c r="C78" s="4">
        <v>33.880000000000003</v>
      </c>
      <c r="D78" s="4">
        <v>32.200000000000003</v>
      </c>
      <c r="E78" s="4">
        <v>35.15</v>
      </c>
      <c r="F78" s="5">
        <v>-9.1614906832298004E-2</v>
      </c>
      <c r="G78" s="5">
        <v>-6.1615230243531993E-2</v>
      </c>
    </row>
    <row r="79" spans="1:7" x14ac:dyDescent="0.35">
      <c r="A79" s="3">
        <v>44126</v>
      </c>
      <c r="B79" s="4">
        <v>39.619999999999997</v>
      </c>
      <c r="C79" s="4">
        <v>34.07</v>
      </c>
      <c r="D79" s="4">
        <v>35.15</v>
      </c>
      <c r="E79" s="4">
        <v>37.81</v>
      </c>
      <c r="F79" s="5">
        <v>-7.5675675675675791E-2</v>
      </c>
      <c r="G79" s="5">
        <v>-5.8856588157155221E-2</v>
      </c>
    </row>
    <row r="80" spans="1:7" x14ac:dyDescent="0.35">
      <c r="A80" s="3">
        <v>44127</v>
      </c>
      <c r="B80" s="4">
        <v>42.62</v>
      </c>
      <c r="C80" s="4">
        <v>37.19</v>
      </c>
      <c r="D80" s="4">
        <v>37.81</v>
      </c>
      <c r="E80" s="4">
        <v>41.58</v>
      </c>
      <c r="F80" s="5">
        <v>-9.970907167416021E-2</v>
      </c>
      <c r="G80" s="5">
        <v>1.189384800965021E-2</v>
      </c>
    </row>
    <row r="81" spans="1:7" x14ac:dyDescent="0.35">
      <c r="A81" s="3">
        <v>44128</v>
      </c>
      <c r="B81" s="4">
        <v>45.71</v>
      </c>
      <c r="C81" s="4">
        <v>38.659999999999997</v>
      </c>
      <c r="D81" s="4">
        <v>41.58</v>
      </c>
      <c r="E81" s="4">
        <v>39.479999999999997</v>
      </c>
      <c r="F81" s="5">
        <v>5.0505050505050497E-2</v>
      </c>
      <c r="G81" s="5">
        <v>-7.275923529555417E-3</v>
      </c>
    </row>
    <row r="82" spans="1:7" x14ac:dyDescent="0.35">
      <c r="A82" s="3">
        <v>44129</v>
      </c>
      <c r="B82" s="4">
        <v>40.299999999999997</v>
      </c>
      <c r="C82" s="4">
        <v>37.43</v>
      </c>
      <c r="D82" s="4">
        <v>39.479999999999997</v>
      </c>
      <c r="E82" s="4">
        <v>37.909999999999997</v>
      </c>
      <c r="F82" s="5">
        <v>3.976697061803447E-2</v>
      </c>
      <c r="G82" s="5">
        <v>1.5004241910071547E-2</v>
      </c>
    </row>
    <row r="83" spans="1:7" x14ac:dyDescent="0.35">
      <c r="A83" s="3">
        <v>44130</v>
      </c>
      <c r="B83" s="4">
        <v>39.200000000000003</v>
      </c>
      <c r="C83" s="4">
        <v>35.6</v>
      </c>
      <c r="D83" s="4">
        <v>37.909999999999997</v>
      </c>
      <c r="E83" s="4">
        <v>36.01</v>
      </c>
      <c r="F83" s="5">
        <v>5.0118702189395958E-2</v>
      </c>
      <c r="G83" s="5">
        <v>3.2606555763362577E-2</v>
      </c>
    </row>
    <row r="84" spans="1:7" x14ac:dyDescent="0.35">
      <c r="A84" s="3">
        <v>44131</v>
      </c>
      <c r="B84" s="4">
        <v>39.700000000000003</v>
      </c>
      <c r="C84" s="4">
        <v>34.25</v>
      </c>
      <c r="D84" s="4">
        <v>36.01</v>
      </c>
      <c r="E84" s="4">
        <v>34.96</v>
      </c>
      <c r="F84" s="5">
        <v>2.9158567064704211E-2</v>
      </c>
      <c r="G84" s="5">
        <v>-2.7040777390552329E-2</v>
      </c>
    </row>
    <row r="85" spans="1:7" x14ac:dyDescent="0.35">
      <c r="A85" s="3">
        <v>44132</v>
      </c>
      <c r="B85" s="4">
        <v>34.5</v>
      </c>
      <c r="C85" s="4">
        <v>32.22</v>
      </c>
      <c r="D85" s="4">
        <v>34.96</v>
      </c>
      <c r="E85" s="4">
        <v>32.44</v>
      </c>
      <c r="F85" s="5">
        <v>7.2082379862700274E-2</v>
      </c>
      <c r="G85" s="5">
        <v>3.7078317729231758E-2</v>
      </c>
    </row>
    <row r="86" spans="1:7" x14ac:dyDescent="0.35">
      <c r="A86" s="3">
        <v>44133</v>
      </c>
      <c r="B86" s="4">
        <v>33.64</v>
      </c>
      <c r="C86" s="4">
        <v>28.35</v>
      </c>
      <c r="D86" s="4">
        <v>32.44</v>
      </c>
      <c r="E86" s="4">
        <v>29.12</v>
      </c>
      <c r="F86" s="5">
        <v>0.10234278668310715</v>
      </c>
      <c r="G86" s="5">
        <v>3.163824369164181E-3</v>
      </c>
    </row>
    <row r="87" spans="1:7" x14ac:dyDescent="0.35">
      <c r="A87" s="3">
        <v>44134</v>
      </c>
      <c r="B87" s="4">
        <v>32.1</v>
      </c>
      <c r="C87" s="4">
        <v>27.84</v>
      </c>
      <c r="D87" s="4">
        <v>29.12</v>
      </c>
      <c r="E87" s="4">
        <v>31.15</v>
      </c>
      <c r="F87" s="5">
        <v>-6.9711538461538325E-2</v>
      </c>
      <c r="G87" s="5">
        <v>1.2334210662125256E-2</v>
      </c>
    </row>
    <row r="88" spans="1:7" x14ac:dyDescent="0.35">
      <c r="A88" s="3">
        <v>44135</v>
      </c>
      <c r="B88" s="4">
        <v>33.29</v>
      </c>
      <c r="C88" s="4">
        <v>29.51</v>
      </c>
      <c r="D88" s="4">
        <v>31.15</v>
      </c>
      <c r="E88" s="4">
        <v>29.75</v>
      </c>
      <c r="F88" s="5">
        <v>4.49438202247191E-2</v>
      </c>
      <c r="G88" s="5">
        <v>-1.0476538823283477E-2</v>
      </c>
    </row>
    <row r="89" spans="1:7" x14ac:dyDescent="0.35">
      <c r="A89" s="3">
        <v>44136</v>
      </c>
      <c r="B89" s="4">
        <v>31.07</v>
      </c>
      <c r="C89" s="4">
        <v>28.5</v>
      </c>
      <c r="D89" s="4">
        <v>29.75</v>
      </c>
      <c r="E89" s="4">
        <v>30.78</v>
      </c>
      <c r="F89" s="5">
        <v>-3.4621848739495809E-2</v>
      </c>
      <c r="G89" s="5">
        <v>-2.5803449078263707E-2</v>
      </c>
    </row>
    <row r="90" spans="1:7" x14ac:dyDescent="0.35">
      <c r="A90" s="3">
        <v>44137</v>
      </c>
      <c r="B90" s="4">
        <v>34.06</v>
      </c>
      <c r="C90" s="4">
        <v>29.21</v>
      </c>
      <c r="D90" s="4">
        <v>30.78</v>
      </c>
      <c r="E90" s="4">
        <v>29.78</v>
      </c>
      <c r="F90" s="5">
        <v>3.2488628979857048E-2</v>
      </c>
      <c r="G90" s="5">
        <v>3.3119092627599156E-2</v>
      </c>
    </row>
    <row r="91" spans="1:7" x14ac:dyDescent="0.35">
      <c r="A91" s="3">
        <v>44138</v>
      </c>
      <c r="B91" s="4">
        <v>31.02</v>
      </c>
      <c r="C91" s="4">
        <v>27.84</v>
      </c>
      <c r="D91" s="4">
        <v>29.78</v>
      </c>
      <c r="E91" s="4">
        <v>28.16</v>
      </c>
      <c r="F91" s="5">
        <v>5.4398925453324365E-2</v>
      </c>
      <c r="G91" s="5">
        <v>-1.191314095044449E-2</v>
      </c>
    </row>
    <row r="92" spans="1:7" x14ac:dyDescent="0.35">
      <c r="A92" s="3">
        <v>44139</v>
      </c>
      <c r="B92" s="4">
        <v>28.16</v>
      </c>
      <c r="C92" s="4">
        <v>27.97</v>
      </c>
      <c r="D92" s="4">
        <v>28.16</v>
      </c>
      <c r="E92" s="4">
        <v>28.07</v>
      </c>
      <c r="F92" s="5">
        <v>3.1960227272727071E-3</v>
      </c>
      <c r="G92" s="5">
        <v>-1.5456746870001759E-4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AFC46-543C-4566-B37E-8CCFBBBB9470}">
  <sheetPr codeName="Sheet8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4.6779999999999999</v>
      </c>
      <c r="C2" s="4">
        <v>4.3460000000000001</v>
      </c>
      <c r="D2" s="4">
        <v>4.3460000000000001</v>
      </c>
      <c r="E2" s="4">
        <v>4.4580000000000002</v>
      </c>
    </row>
    <row r="3" spans="1:7" x14ac:dyDescent="0.35">
      <c r="A3" s="3">
        <v>44050</v>
      </c>
      <c r="B3" s="4">
        <v>4.5209999999999999</v>
      </c>
      <c r="C3" s="4">
        <v>4.2039999999999997</v>
      </c>
      <c r="D3" s="4">
        <v>4.4580000000000002</v>
      </c>
      <c r="E3" s="4">
        <v>4.3079999999999998</v>
      </c>
      <c r="F3" s="5">
        <v>3.3647375504710753E-2</v>
      </c>
      <c r="G3" s="5">
        <v>3.9160591332523365E-2</v>
      </c>
    </row>
    <row r="4" spans="1:7" x14ac:dyDescent="0.35">
      <c r="A4" s="3">
        <v>44051</v>
      </c>
      <c r="B4" s="4">
        <v>4.4729999999999999</v>
      </c>
      <c r="C4" s="4">
        <v>4.2720000000000002</v>
      </c>
      <c r="D4" s="4">
        <v>4.3079999999999998</v>
      </c>
      <c r="E4" s="4">
        <v>4.3600000000000003</v>
      </c>
      <c r="F4" s="5">
        <v>-1.2070566388115322E-2</v>
      </c>
      <c r="G4" s="5">
        <v>-4.739573728166091E-2</v>
      </c>
    </row>
    <row r="5" spans="1:7" x14ac:dyDescent="0.35">
      <c r="A5" s="3">
        <v>44052</v>
      </c>
      <c r="B5" s="4">
        <v>4.4349999999999996</v>
      </c>
      <c r="C5" s="4">
        <v>4.1970000000000001</v>
      </c>
      <c r="D5" s="4">
        <v>4.3600000000000003</v>
      </c>
      <c r="E5" s="4">
        <v>4.25</v>
      </c>
      <c r="F5" s="5">
        <v>2.5229357798165264E-2</v>
      </c>
      <c r="G5" s="5">
        <v>1.8311701378408318E-2</v>
      </c>
    </row>
    <row r="6" spans="1:7" x14ac:dyDescent="0.35">
      <c r="A6" s="3">
        <v>44053</v>
      </c>
      <c r="B6" s="4">
        <v>5.0490000000000004</v>
      </c>
      <c r="C6" s="4">
        <v>4.2489999999999997</v>
      </c>
      <c r="D6" s="4">
        <v>4.25</v>
      </c>
      <c r="E6" s="4">
        <v>4.8339999999999996</v>
      </c>
      <c r="F6" s="5">
        <v>-0.13741176470588234</v>
      </c>
      <c r="G6" s="5">
        <v>-1.3913088039356314E-2</v>
      </c>
    </row>
    <row r="7" spans="1:7" x14ac:dyDescent="0.35">
      <c r="A7" s="3">
        <v>44054</v>
      </c>
      <c r="B7" s="4">
        <v>4.9249999999999998</v>
      </c>
      <c r="C7" s="4">
        <v>4.274</v>
      </c>
      <c r="D7" s="4">
        <v>4.8339999999999996</v>
      </c>
      <c r="E7" s="4">
        <v>4.8730000000000002</v>
      </c>
      <c r="F7" s="5">
        <v>-8.0678527099711239E-3</v>
      </c>
      <c r="G7" s="5">
        <v>4.2379520355816047E-2</v>
      </c>
    </row>
    <row r="8" spans="1:7" x14ac:dyDescent="0.35">
      <c r="A8" s="3">
        <v>44055</v>
      </c>
      <c r="B8" s="4">
        <v>5.9480000000000004</v>
      </c>
      <c r="C8" s="4">
        <v>4.9509999999999996</v>
      </c>
      <c r="D8" s="4">
        <v>4.8730000000000002</v>
      </c>
      <c r="E8" s="4">
        <v>5.6520000000000001</v>
      </c>
      <c r="F8" s="5">
        <v>-0.1598604555715164</v>
      </c>
      <c r="G8" s="5">
        <v>-2.1771256663323912E-2</v>
      </c>
    </row>
    <row r="9" spans="1:7" x14ac:dyDescent="0.35">
      <c r="A9" s="3">
        <v>44056</v>
      </c>
      <c r="B9" s="4">
        <v>6.1230000000000002</v>
      </c>
      <c r="C9" s="4">
        <v>4.8140000000000001</v>
      </c>
      <c r="D9" s="4">
        <v>5.6520000000000001</v>
      </c>
      <c r="E9" s="4">
        <v>5.0830000000000002</v>
      </c>
      <c r="F9" s="5">
        <v>0.10067232837933471</v>
      </c>
      <c r="G9" s="5">
        <v>-9.7574834060797144E-2</v>
      </c>
    </row>
    <row r="10" spans="1:7" x14ac:dyDescent="0.35">
      <c r="A10" s="3">
        <v>44057</v>
      </c>
      <c r="B10" s="4">
        <v>6.4539999999999997</v>
      </c>
      <c r="C10" s="4">
        <v>4.9560000000000004</v>
      </c>
      <c r="D10" s="4">
        <v>5.0830000000000002</v>
      </c>
      <c r="E10" s="4">
        <v>6.16</v>
      </c>
      <c r="F10" s="5">
        <v>-0.2118827464096007</v>
      </c>
      <c r="G10" s="5">
        <v>-3.1861072546297331E-2</v>
      </c>
    </row>
    <row r="11" spans="1:7" x14ac:dyDescent="0.35">
      <c r="A11" s="3">
        <v>44058</v>
      </c>
      <c r="B11" s="4">
        <v>7.4020000000000001</v>
      </c>
      <c r="C11" s="4">
        <v>5.82</v>
      </c>
      <c r="D11" s="4">
        <v>6.16</v>
      </c>
      <c r="E11" s="4">
        <v>6.8650000000000002</v>
      </c>
      <c r="F11" s="5">
        <v>-0.11444805194805197</v>
      </c>
      <c r="G11" s="5">
        <v>1.3545871245809638E-2</v>
      </c>
    </row>
    <row r="12" spans="1:7" x14ac:dyDescent="0.35">
      <c r="A12" s="3">
        <v>44059</v>
      </c>
      <c r="B12" s="4">
        <v>6.9020000000000001</v>
      </c>
      <c r="C12" s="4">
        <v>6.3310000000000004</v>
      </c>
      <c r="D12" s="4">
        <v>6.8650000000000002</v>
      </c>
      <c r="E12" s="4">
        <v>6.407</v>
      </c>
      <c r="F12" s="5">
        <v>6.6715222141296437E-2</v>
      </c>
      <c r="G12" s="5">
        <v>-2.9590586494672166E-3</v>
      </c>
    </row>
    <row r="13" spans="1:7" x14ac:dyDescent="0.35">
      <c r="A13" s="3">
        <v>44060</v>
      </c>
      <c r="B13" s="4">
        <v>7.13</v>
      </c>
      <c r="C13" s="4">
        <v>6.1189999999999998</v>
      </c>
      <c r="D13" s="4">
        <v>6.407</v>
      </c>
      <c r="E13" s="4">
        <v>6.1740000000000004</v>
      </c>
      <c r="F13" s="5">
        <v>3.6366474168877727E-2</v>
      </c>
      <c r="G13" s="5">
        <v>5.9698052322232353E-3</v>
      </c>
    </row>
    <row r="14" spans="1:7" x14ac:dyDescent="0.35">
      <c r="A14" s="3">
        <v>44061</v>
      </c>
      <c r="B14" s="4">
        <v>6.5259999999999998</v>
      </c>
      <c r="C14" s="4">
        <v>5.5510000000000002</v>
      </c>
      <c r="D14" s="4">
        <v>6.1740000000000004</v>
      </c>
      <c r="E14" s="4">
        <v>6.133</v>
      </c>
      <c r="F14" s="5">
        <v>6.6407515387107985E-3</v>
      </c>
      <c r="G14" s="5">
        <v>2.1031396373417444E-2</v>
      </c>
    </row>
    <row r="15" spans="1:7" x14ac:dyDescent="0.35">
      <c r="A15" s="3">
        <v>44062</v>
      </c>
      <c r="B15" s="4">
        <v>6.5529999999999999</v>
      </c>
      <c r="C15" s="4">
        <v>5.4909999999999997</v>
      </c>
      <c r="D15" s="4">
        <v>6.133</v>
      </c>
      <c r="E15" s="4">
        <v>6.1079999999999997</v>
      </c>
      <c r="F15" s="5">
        <v>4.0763084950269368E-3</v>
      </c>
      <c r="G15" s="5">
        <v>3.3965750017764473E-2</v>
      </c>
    </row>
    <row r="16" spans="1:7" x14ac:dyDescent="0.35">
      <c r="A16" s="3">
        <v>44063</v>
      </c>
      <c r="B16" s="4">
        <v>7.141</v>
      </c>
      <c r="C16" s="4">
        <v>6.1479999999999997</v>
      </c>
      <c r="D16" s="4">
        <v>6.1079999999999997</v>
      </c>
      <c r="E16" s="4">
        <v>6.1879999999999997</v>
      </c>
      <c r="F16" s="5">
        <v>-1.3097576948264633E-2</v>
      </c>
      <c r="G16" s="5">
        <v>-2.0080912100036707E-2</v>
      </c>
    </row>
    <row r="17" spans="1:7" x14ac:dyDescent="0.35">
      <c r="A17" s="3">
        <v>44064</v>
      </c>
      <c r="B17" s="4">
        <v>6.0739999999999998</v>
      </c>
      <c r="C17" s="4">
        <v>5.2290000000000001</v>
      </c>
      <c r="D17" s="4">
        <v>6.1879999999999997</v>
      </c>
      <c r="E17" s="4">
        <v>5.3239999999999998</v>
      </c>
      <c r="F17" s="5">
        <v>0.13962508080155134</v>
      </c>
      <c r="G17" s="5">
        <v>6.7445437938659758E-2</v>
      </c>
    </row>
    <row r="18" spans="1:7" x14ac:dyDescent="0.35">
      <c r="A18" s="3">
        <v>44065</v>
      </c>
      <c r="B18" s="4">
        <v>6.0510000000000002</v>
      </c>
      <c r="C18" s="4">
        <v>5.226</v>
      </c>
      <c r="D18" s="4">
        <v>5.3239999999999998</v>
      </c>
      <c r="E18" s="4">
        <v>5.8339999999999996</v>
      </c>
      <c r="F18" s="5">
        <v>-9.5792637114951118E-2</v>
      </c>
      <c r="G18" s="5">
        <v>-1.9279344296097678E-2</v>
      </c>
    </row>
    <row r="19" spans="1:7" x14ac:dyDescent="0.35">
      <c r="A19" s="3">
        <v>44066</v>
      </c>
      <c r="B19" s="4">
        <v>5.883</v>
      </c>
      <c r="C19" s="4">
        <v>5.4160000000000004</v>
      </c>
      <c r="D19" s="4">
        <v>5.8339999999999996</v>
      </c>
      <c r="E19" s="4">
        <v>5.694</v>
      </c>
      <c r="F19" s="5">
        <v>2.3997257456290666E-2</v>
      </c>
      <c r="G19" s="5">
        <v>1.1986041571840245E-2</v>
      </c>
    </row>
    <row r="20" spans="1:7" x14ac:dyDescent="0.35">
      <c r="A20" s="3">
        <v>44067</v>
      </c>
      <c r="B20" s="4">
        <v>6.3810000000000002</v>
      </c>
      <c r="C20" s="4">
        <v>5.6150000000000002</v>
      </c>
      <c r="D20" s="4">
        <v>5.694</v>
      </c>
      <c r="E20" s="4">
        <v>6.2450000000000001</v>
      </c>
      <c r="F20" s="5">
        <v>-9.676852827537763E-2</v>
      </c>
      <c r="G20" s="5">
        <v>-4.4302825552825498E-2</v>
      </c>
    </row>
    <row r="21" spans="1:7" x14ac:dyDescent="0.35">
      <c r="A21" s="3">
        <v>44068</v>
      </c>
      <c r="B21" s="4">
        <v>6.3630000000000004</v>
      </c>
      <c r="C21" s="4">
        <v>5.593</v>
      </c>
      <c r="D21" s="4">
        <v>6.2270000000000003</v>
      </c>
      <c r="E21" s="4">
        <v>5.8540000000000001</v>
      </c>
      <c r="F21" s="5">
        <v>6.2610088070456316E-2</v>
      </c>
      <c r="G21" s="5">
        <v>6.051025659877951E-2</v>
      </c>
    </row>
    <row r="22" spans="1:7" x14ac:dyDescent="0.35">
      <c r="A22" s="3">
        <v>44069</v>
      </c>
      <c r="B22" s="4">
        <v>6.4809999999999999</v>
      </c>
      <c r="C22" s="4">
        <v>5.8330000000000002</v>
      </c>
      <c r="D22" s="4">
        <v>5.8540000000000001</v>
      </c>
      <c r="E22" s="4">
        <v>6.1219999999999999</v>
      </c>
      <c r="F22" s="5">
        <v>-4.5780662794670191E-2</v>
      </c>
      <c r="G22" s="5">
        <v>-6.9911827620390277E-3</v>
      </c>
    </row>
    <row r="23" spans="1:7" x14ac:dyDescent="0.35">
      <c r="A23" s="3">
        <v>44070</v>
      </c>
      <c r="B23" s="4">
        <v>6.4029999999999996</v>
      </c>
      <c r="C23" s="4">
        <v>5.8360000000000003</v>
      </c>
      <c r="D23" s="4">
        <v>6.1219999999999999</v>
      </c>
      <c r="E23" s="4">
        <v>6.0890000000000004</v>
      </c>
      <c r="F23" s="5">
        <v>5.3903952956548817E-3</v>
      </c>
      <c r="G23" s="5">
        <v>7.8493342313868952E-3</v>
      </c>
    </row>
    <row r="24" spans="1:7" x14ac:dyDescent="0.35">
      <c r="A24" s="3">
        <v>44071</v>
      </c>
      <c r="B24" s="4">
        <v>7.0880000000000001</v>
      </c>
      <c r="C24" s="4">
        <v>6.2460000000000004</v>
      </c>
      <c r="D24" s="4">
        <v>6.0890000000000004</v>
      </c>
      <c r="E24" s="4">
        <v>6.867</v>
      </c>
      <c r="F24" s="5">
        <v>-0.12777139103301027</v>
      </c>
      <c r="G24" s="5">
        <v>-3.2768479594767586E-2</v>
      </c>
    </row>
    <row r="25" spans="1:7" x14ac:dyDescent="0.35">
      <c r="A25" s="3">
        <v>44072</v>
      </c>
      <c r="B25" s="4">
        <v>7.0750000000000002</v>
      </c>
      <c r="C25" s="4">
        <v>6.4169999999999998</v>
      </c>
      <c r="D25" s="4">
        <v>6.867</v>
      </c>
      <c r="E25" s="4">
        <v>6.5359999999999996</v>
      </c>
      <c r="F25" s="5">
        <v>4.8201543614387665E-2</v>
      </c>
      <c r="G25" s="5">
        <v>-8.6211255498811479E-3</v>
      </c>
    </row>
    <row r="26" spans="1:7" x14ac:dyDescent="0.35">
      <c r="A26" s="3">
        <v>44073</v>
      </c>
      <c r="B26" s="4">
        <v>7.59</v>
      </c>
      <c r="C26" s="4">
        <v>6.9420000000000002</v>
      </c>
      <c r="D26" s="4">
        <v>6.5359999999999996</v>
      </c>
      <c r="E26" s="4">
        <v>7.2939999999999996</v>
      </c>
      <c r="F26" s="5">
        <v>-0.11597307221542219</v>
      </c>
      <c r="G26" s="5">
        <v>-7.5773906504574606E-2</v>
      </c>
    </row>
    <row r="27" spans="1:7" x14ac:dyDescent="0.35">
      <c r="A27" s="3">
        <v>44074</v>
      </c>
      <c r="B27" s="4">
        <v>7.649</v>
      </c>
      <c r="C27" s="4">
        <v>6.9459999999999997</v>
      </c>
      <c r="D27" s="4">
        <v>7.2939999999999996</v>
      </c>
      <c r="E27" s="4">
        <v>7.3150000000000004</v>
      </c>
      <c r="F27" s="5">
        <v>-2.8790786948178493E-3</v>
      </c>
      <c r="G27" s="5">
        <v>-1.1556922503378475E-2</v>
      </c>
    </row>
    <row r="28" spans="1:7" x14ac:dyDescent="0.35">
      <c r="A28" s="3">
        <v>44075</v>
      </c>
      <c r="B28" s="4">
        <v>8.484</v>
      </c>
      <c r="C28" s="4">
        <v>7.0090000000000003</v>
      </c>
      <c r="D28" s="4">
        <v>7.3150000000000004</v>
      </c>
      <c r="E28" s="4">
        <v>7.1130000000000004</v>
      </c>
      <c r="F28" s="5">
        <v>2.7614490772385536E-2</v>
      </c>
      <c r="G28" s="5">
        <v>-9.6397475468742888E-2</v>
      </c>
    </row>
    <row r="29" spans="1:7" x14ac:dyDescent="0.35">
      <c r="A29" s="3">
        <v>44076</v>
      </c>
      <c r="B29" s="4">
        <v>6.6630000000000003</v>
      </c>
      <c r="C29" s="4">
        <v>5.718</v>
      </c>
      <c r="D29" s="4">
        <v>7.1130000000000004</v>
      </c>
      <c r="E29" s="4">
        <v>6.3730000000000002</v>
      </c>
      <c r="F29" s="5">
        <v>0.10403486573878817</v>
      </c>
      <c r="G29" s="5">
        <v>7.5967982520641186E-2</v>
      </c>
    </row>
    <row r="30" spans="1:7" x14ac:dyDescent="0.35">
      <c r="A30" s="3">
        <v>44077</v>
      </c>
      <c r="B30" s="4">
        <v>5.8659999999999997</v>
      </c>
      <c r="C30" s="4">
        <v>5.0919999999999996</v>
      </c>
      <c r="D30" s="4">
        <v>6.3940000000000001</v>
      </c>
      <c r="E30" s="4">
        <v>5.2460000000000004</v>
      </c>
      <c r="F30" s="5">
        <v>0.17683979287619644</v>
      </c>
      <c r="G30" s="5">
        <v>0.1304367596571403</v>
      </c>
    </row>
    <row r="31" spans="1:7" x14ac:dyDescent="0.35">
      <c r="A31" s="3">
        <v>44078</v>
      </c>
      <c r="B31" s="4">
        <v>5.8659999999999997</v>
      </c>
      <c r="C31" s="4">
        <v>4.9770000000000003</v>
      </c>
      <c r="D31" s="4">
        <v>5.2460000000000004</v>
      </c>
      <c r="E31" s="4">
        <v>5.3540000000000001</v>
      </c>
      <c r="F31" s="5">
        <v>-2.0587113991612505E-2</v>
      </c>
      <c r="G31" s="5">
        <v>-9.0205511687497797E-3</v>
      </c>
    </row>
    <row r="32" spans="1:7" x14ac:dyDescent="0.35">
      <c r="A32" s="3">
        <v>44079</v>
      </c>
      <c r="B32" s="4">
        <v>5.4790000000000001</v>
      </c>
      <c r="C32" s="4">
        <v>3.7490000000000001</v>
      </c>
      <c r="D32" s="4">
        <v>5.3540000000000001</v>
      </c>
      <c r="E32" s="4">
        <v>4.47</v>
      </c>
      <c r="F32" s="5">
        <v>0.16511019798281668</v>
      </c>
      <c r="G32" s="5">
        <v>0.13130004405172191</v>
      </c>
    </row>
    <row r="33" spans="1:7" x14ac:dyDescent="0.35">
      <c r="A33" s="3">
        <v>44080</v>
      </c>
      <c r="B33" s="4">
        <v>5.202</v>
      </c>
      <c r="C33" s="4">
        <v>4.2080000000000002</v>
      </c>
      <c r="D33" s="4">
        <v>4.47</v>
      </c>
      <c r="E33" s="4">
        <v>4.96</v>
      </c>
      <c r="F33" s="5">
        <v>-0.10961968680089496</v>
      </c>
      <c r="G33" s="5">
        <v>-5.2052261066698469E-2</v>
      </c>
    </row>
    <row r="34" spans="1:7" x14ac:dyDescent="0.35">
      <c r="A34" s="3">
        <v>44081</v>
      </c>
      <c r="B34" s="4">
        <v>5.1020000000000003</v>
      </c>
      <c r="C34" s="4">
        <v>4.3170000000000002</v>
      </c>
      <c r="D34" s="4">
        <v>4.96</v>
      </c>
      <c r="E34" s="4">
        <v>4.6379999999999999</v>
      </c>
      <c r="F34" s="5">
        <v>6.4919354838709697E-2</v>
      </c>
      <c r="G34" s="5">
        <v>-2.8637046698234414E-3</v>
      </c>
    </row>
    <row r="35" spans="1:7" x14ac:dyDescent="0.35">
      <c r="A35" s="3">
        <v>44082</v>
      </c>
      <c r="B35" s="4">
        <v>4.58</v>
      </c>
      <c r="C35" s="4">
        <v>4.1399999999999997</v>
      </c>
      <c r="D35" s="4">
        <v>4.6379999999999999</v>
      </c>
      <c r="E35" s="4">
        <v>4.2489999999999997</v>
      </c>
      <c r="F35" s="5">
        <v>8.3872358775334277E-2</v>
      </c>
      <c r="G35" s="5">
        <v>4.5942889454339886E-2</v>
      </c>
    </row>
    <row r="36" spans="1:7" x14ac:dyDescent="0.35">
      <c r="A36" s="3">
        <v>44083</v>
      </c>
      <c r="B36" s="4">
        <v>5.2510000000000003</v>
      </c>
      <c r="C36" s="4">
        <v>4.28</v>
      </c>
      <c r="D36" s="4">
        <v>4.2489999999999997</v>
      </c>
      <c r="E36" s="4">
        <v>5.0019999999999998</v>
      </c>
      <c r="F36" s="5">
        <v>-0.17721816898093667</v>
      </c>
      <c r="G36" s="5">
        <v>-4.0598607201066894E-2</v>
      </c>
    </row>
    <row r="37" spans="1:7" x14ac:dyDescent="0.35">
      <c r="A37" s="3">
        <v>44084</v>
      </c>
      <c r="B37" s="4">
        <v>5.8739999999999997</v>
      </c>
      <c r="C37" s="4">
        <v>5.0590000000000002</v>
      </c>
      <c r="D37" s="4">
        <v>5.0019999999999998</v>
      </c>
      <c r="E37" s="4">
        <v>5.726</v>
      </c>
      <c r="F37" s="5">
        <v>-0.14474210315873659</v>
      </c>
      <c r="G37" s="5">
        <v>-4.8241492239783579E-2</v>
      </c>
    </row>
    <row r="38" spans="1:7" x14ac:dyDescent="0.35">
      <c r="A38" s="3">
        <v>44085</v>
      </c>
      <c r="B38" s="4">
        <v>6.0490000000000004</v>
      </c>
      <c r="C38" s="4">
        <v>5.4589999999999996</v>
      </c>
      <c r="D38" s="4">
        <v>5.726</v>
      </c>
      <c r="E38" s="4">
        <v>5.9950000000000001</v>
      </c>
      <c r="F38" s="5">
        <v>-4.6978693677960148E-2</v>
      </c>
      <c r="G38" s="5">
        <v>-1.6028688635931543E-2</v>
      </c>
    </row>
    <row r="39" spans="1:7" x14ac:dyDescent="0.35">
      <c r="A39" s="3">
        <v>44086</v>
      </c>
      <c r="B39" s="4">
        <v>6.2229999999999999</v>
      </c>
      <c r="C39" s="4">
        <v>5.7050000000000001</v>
      </c>
      <c r="D39" s="4">
        <v>5.9950000000000001</v>
      </c>
      <c r="E39" s="4">
        <v>6.141</v>
      </c>
      <c r="F39" s="5">
        <v>-2.4353628023352725E-2</v>
      </c>
      <c r="G39" s="5">
        <v>-3.7567849407738274E-2</v>
      </c>
    </row>
    <row r="40" spans="1:7" x14ac:dyDescent="0.35">
      <c r="A40" s="3">
        <v>44087</v>
      </c>
      <c r="B40" s="4">
        <v>6.2220000000000004</v>
      </c>
      <c r="C40" s="4">
        <v>5.1189999999999998</v>
      </c>
      <c r="D40" s="4">
        <v>6.141</v>
      </c>
      <c r="E40" s="4">
        <v>5.3949999999999996</v>
      </c>
      <c r="F40" s="5">
        <v>0.12147858654942201</v>
      </c>
      <c r="G40" s="5">
        <v>5.6076693124420318E-2</v>
      </c>
    </row>
    <row r="41" spans="1:7" x14ac:dyDescent="0.35">
      <c r="A41" s="3">
        <v>44088</v>
      </c>
      <c r="B41" s="4">
        <v>5.7530000000000001</v>
      </c>
      <c r="C41" s="4">
        <v>5.1420000000000003</v>
      </c>
      <c r="D41" s="4">
        <v>5.3949999999999996</v>
      </c>
      <c r="E41" s="4">
        <v>5.1849999999999996</v>
      </c>
      <c r="F41" s="5">
        <v>3.8924930491195497E-2</v>
      </c>
      <c r="G41" s="5">
        <v>-2.9977066724909962E-2</v>
      </c>
    </row>
    <row r="42" spans="1:7" x14ac:dyDescent="0.35">
      <c r="A42" s="3">
        <v>44089</v>
      </c>
      <c r="B42" s="4">
        <v>5.5270000000000001</v>
      </c>
      <c r="C42" s="4">
        <v>4.4610000000000003</v>
      </c>
      <c r="D42" s="4">
        <v>5.1849999999999996</v>
      </c>
      <c r="E42" s="4">
        <v>4.4960000000000004</v>
      </c>
      <c r="F42" s="5">
        <v>0.13288331726133062</v>
      </c>
      <c r="G42" s="5">
        <v>3.4724062980437842E-2</v>
      </c>
    </row>
    <row r="43" spans="1:7" x14ac:dyDescent="0.35">
      <c r="A43" s="3">
        <v>44090</v>
      </c>
      <c r="B43" s="4">
        <v>4.9249999999999998</v>
      </c>
      <c r="C43" s="4">
        <v>4.2229999999999999</v>
      </c>
      <c r="D43" s="4">
        <v>4.4960000000000004</v>
      </c>
      <c r="E43" s="4">
        <v>4.8010000000000002</v>
      </c>
      <c r="F43" s="5">
        <v>-6.7838078291814874E-2</v>
      </c>
      <c r="G43" s="5">
        <v>-2.5538224956060951E-3</v>
      </c>
    </row>
    <row r="44" spans="1:7" x14ac:dyDescent="0.35">
      <c r="A44" s="3">
        <v>44091</v>
      </c>
      <c r="B44" s="4">
        <v>4.9939999999999998</v>
      </c>
      <c r="C44" s="4">
        <v>4.375</v>
      </c>
      <c r="D44" s="4">
        <v>4.8010000000000002</v>
      </c>
      <c r="E44" s="4">
        <v>4.49</v>
      </c>
      <c r="F44" s="5">
        <v>6.4778171214330382E-2</v>
      </c>
      <c r="G44" s="5">
        <v>-6.6969788271385333E-2</v>
      </c>
    </row>
    <row r="45" spans="1:7" x14ac:dyDescent="0.35">
      <c r="A45" s="3">
        <v>44092</v>
      </c>
      <c r="B45" s="4">
        <v>4.7450000000000001</v>
      </c>
      <c r="C45" s="4">
        <v>4.3760000000000003</v>
      </c>
      <c r="D45" s="4">
        <v>4.49</v>
      </c>
      <c r="E45" s="4">
        <v>4.5609999999999999</v>
      </c>
      <c r="F45" s="5">
        <v>-1.5812917594654641E-2</v>
      </c>
      <c r="G45" s="5">
        <v>1.3015351440160194E-2</v>
      </c>
    </row>
    <row r="46" spans="1:7" x14ac:dyDescent="0.35">
      <c r="A46" s="3">
        <v>44093</v>
      </c>
      <c r="B46" s="4">
        <v>4.6239999999999997</v>
      </c>
      <c r="C46" s="4">
        <v>4.2640000000000002</v>
      </c>
      <c r="D46" s="4">
        <v>4.5609999999999999</v>
      </c>
      <c r="E46" s="4">
        <v>4.3</v>
      </c>
      <c r="F46" s="5">
        <v>5.7224292918219732E-2</v>
      </c>
      <c r="G46" s="5">
        <v>-2.0807865373109191E-3</v>
      </c>
    </row>
    <row r="47" spans="1:7" x14ac:dyDescent="0.35">
      <c r="A47" s="3">
        <v>44094</v>
      </c>
      <c r="B47" s="4">
        <v>4.524</v>
      </c>
      <c r="C47" s="4">
        <v>4.0979999999999999</v>
      </c>
      <c r="D47" s="4">
        <v>4.3</v>
      </c>
      <c r="E47" s="4">
        <v>4.1920000000000002</v>
      </c>
      <c r="F47" s="5">
        <v>2.5116279069767322E-2</v>
      </c>
      <c r="G47" s="5">
        <v>3.6987048044228699E-2</v>
      </c>
    </row>
    <row r="48" spans="1:7" x14ac:dyDescent="0.35">
      <c r="A48" s="3">
        <v>44095</v>
      </c>
      <c r="B48" s="4">
        <v>4.0510000000000002</v>
      </c>
      <c r="C48" s="4">
        <v>3.4769999999999999</v>
      </c>
      <c r="D48" s="4">
        <v>4.1920000000000002</v>
      </c>
      <c r="E48" s="4">
        <v>3.6150000000000002</v>
      </c>
      <c r="F48" s="5">
        <v>0.13764312977099236</v>
      </c>
      <c r="G48" s="5">
        <v>8.3095250929869025E-2</v>
      </c>
    </row>
    <row r="49" spans="1:7" x14ac:dyDescent="0.35">
      <c r="A49" s="3">
        <v>44096</v>
      </c>
      <c r="B49" s="4">
        <v>4.3250000000000002</v>
      </c>
      <c r="C49" s="4">
        <v>3.633</v>
      </c>
      <c r="D49" s="4">
        <v>3.6150000000000002</v>
      </c>
      <c r="E49" s="4">
        <v>4.2830000000000004</v>
      </c>
      <c r="F49" s="5">
        <v>-0.18478561549100969</v>
      </c>
      <c r="G49" s="5">
        <v>-1.1934507187160159E-2</v>
      </c>
    </row>
    <row r="50" spans="1:7" x14ac:dyDescent="0.35">
      <c r="A50" s="3">
        <v>44097</v>
      </c>
      <c r="B50" s="4">
        <v>4.2990000000000004</v>
      </c>
      <c r="C50" s="4">
        <v>3.6749999999999998</v>
      </c>
      <c r="D50" s="4">
        <v>4.2830000000000004</v>
      </c>
      <c r="E50" s="4">
        <v>3.6960000000000002</v>
      </c>
      <c r="F50" s="5">
        <v>0.13705346719589073</v>
      </c>
      <c r="G50" s="5">
        <v>6.989106753812635E-2</v>
      </c>
    </row>
    <row r="51" spans="1:7" x14ac:dyDescent="0.35">
      <c r="A51" s="3">
        <v>44098</v>
      </c>
      <c r="B51" s="4">
        <v>6</v>
      </c>
      <c r="C51" s="4">
        <v>3.6859999999999999</v>
      </c>
      <c r="D51" s="4">
        <v>3.7069999999999999</v>
      </c>
      <c r="E51" s="4">
        <v>4.4509999999999996</v>
      </c>
      <c r="F51" s="5">
        <v>-0.20427489177489155</v>
      </c>
      <c r="G51" s="5">
        <v>-9.0539991879821313E-2</v>
      </c>
    </row>
    <row r="52" spans="1:7" x14ac:dyDescent="0.35">
      <c r="A52" s="3">
        <v>44099</v>
      </c>
      <c r="B52" s="4">
        <v>5.1920000000000002</v>
      </c>
      <c r="C52" s="4">
        <v>4.3490000000000002</v>
      </c>
      <c r="D52" s="4">
        <v>4.4089999999999998</v>
      </c>
      <c r="E52" s="4">
        <v>4.9429999999999996</v>
      </c>
      <c r="F52" s="5">
        <v>-0.11053695798696928</v>
      </c>
      <c r="G52" s="5">
        <v>-8.133340970273073E-3</v>
      </c>
    </row>
    <row r="53" spans="1:7" x14ac:dyDescent="0.35">
      <c r="A53" s="3">
        <v>44100</v>
      </c>
      <c r="B53" s="4">
        <v>5.3380000000000001</v>
      </c>
      <c r="C53" s="4">
        <v>4.8099999999999996</v>
      </c>
      <c r="D53" s="4">
        <v>4.9429999999999996</v>
      </c>
      <c r="E53" s="4">
        <v>5.2220000000000004</v>
      </c>
      <c r="F53" s="5">
        <v>-5.6443455391462782E-2</v>
      </c>
      <c r="G53" s="5">
        <v>-6.2780523833874113E-3</v>
      </c>
    </row>
    <row r="54" spans="1:7" x14ac:dyDescent="0.35">
      <c r="A54" s="3">
        <v>44101</v>
      </c>
      <c r="B54" s="4">
        <v>5.4889999999999999</v>
      </c>
      <c r="C54" s="4">
        <v>4.6589999999999998</v>
      </c>
      <c r="D54" s="4">
        <v>5.2220000000000004</v>
      </c>
      <c r="E54" s="4">
        <v>5.1580000000000004</v>
      </c>
      <c r="F54" s="5">
        <v>1.2255840674071261E-2</v>
      </c>
      <c r="G54" s="5">
        <v>-9.8805860599044948E-3</v>
      </c>
    </row>
    <row r="55" spans="1:7" x14ac:dyDescent="0.35">
      <c r="A55" s="3">
        <v>44102</v>
      </c>
      <c r="B55" s="4">
        <v>5.3719999999999999</v>
      </c>
      <c r="C55" s="4">
        <v>4.8029999999999999</v>
      </c>
      <c r="D55" s="4">
        <v>5.1580000000000004</v>
      </c>
      <c r="E55" s="4">
        <v>4.9420000000000002</v>
      </c>
      <c r="F55" s="5">
        <v>4.1876696393951196E-2</v>
      </c>
      <c r="G55" s="5">
        <v>1.0398904201492809E-2</v>
      </c>
    </row>
    <row r="56" spans="1:7" x14ac:dyDescent="0.35">
      <c r="A56" s="3">
        <v>44103</v>
      </c>
      <c r="B56" s="4">
        <v>5.077</v>
      </c>
      <c r="C56" s="4">
        <v>4.7789999999999999</v>
      </c>
      <c r="D56" s="4">
        <v>4.9420000000000002</v>
      </c>
      <c r="E56" s="4">
        <v>4.9740000000000002</v>
      </c>
      <c r="F56" s="5">
        <v>-6.4751112909753328E-3</v>
      </c>
      <c r="G56" s="5">
        <v>-1.6694443659783786E-2</v>
      </c>
    </row>
    <row r="57" spans="1:7" x14ac:dyDescent="0.35">
      <c r="A57" s="3">
        <v>44104</v>
      </c>
      <c r="B57" s="4">
        <v>4.97</v>
      </c>
      <c r="C57" s="4">
        <v>4.4340000000000002</v>
      </c>
      <c r="D57" s="4">
        <v>4.97</v>
      </c>
      <c r="E57" s="4">
        <v>4.75</v>
      </c>
      <c r="F57" s="5">
        <v>4.5034177724165736E-2</v>
      </c>
      <c r="G57" s="5">
        <v>2.7783951989335254E-4</v>
      </c>
    </row>
    <row r="58" spans="1:7" x14ac:dyDescent="0.35">
      <c r="A58" s="3">
        <v>44105</v>
      </c>
      <c r="B58" s="4">
        <v>4.8849999999999998</v>
      </c>
      <c r="C58" s="4">
        <v>4.4329999999999998</v>
      </c>
      <c r="D58" s="4">
        <v>4.7409999999999997</v>
      </c>
      <c r="E58" s="4">
        <v>4.6859999999999999</v>
      </c>
      <c r="F58" s="5">
        <v>1.3473684210526304E-2</v>
      </c>
      <c r="G58" s="5">
        <v>1.8370296259240804E-2</v>
      </c>
    </row>
    <row r="59" spans="1:7" x14ac:dyDescent="0.35">
      <c r="A59" s="3">
        <v>44106</v>
      </c>
      <c r="B59" s="4">
        <v>4.6769999999999996</v>
      </c>
      <c r="C59" s="4">
        <v>4.05</v>
      </c>
      <c r="D59" s="4">
        <v>4.6859999999999999</v>
      </c>
      <c r="E59" s="4">
        <v>4.4189999999999996</v>
      </c>
      <c r="F59" s="5">
        <v>5.6978233034571169E-2</v>
      </c>
      <c r="G59" s="5">
        <v>2.0894085671413598E-2</v>
      </c>
    </row>
    <row r="60" spans="1:7" x14ac:dyDescent="0.35">
      <c r="A60" s="3">
        <v>44107</v>
      </c>
      <c r="B60" s="4">
        <v>4.5890000000000004</v>
      </c>
      <c r="C60" s="4">
        <v>4.3769999999999998</v>
      </c>
      <c r="D60" s="4">
        <v>4.4189999999999996</v>
      </c>
      <c r="E60" s="4">
        <v>4.391</v>
      </c>
      <c r="F60" s="5">
        <v>6.3362751753789359E-3</v>
      </c>
      <c r="G60" s="5">
        <v>-1.4168811265651282E-3</v>
      </c>
    </row>
    <row r="61" spans="1:7" x14ac:dyDescent="0.35">
      <c r="A61" s="3">
        <v>44108</v>
      </c>
      <c r="B61" s="4">
        <v>4.5759999999999996</v>
      </c>
      <c r="C61" s="4">
        <v>4.3120000000000003</v>
      </c>
      <c r="D61" s="4">
        <v>4.391</v>
      </c>
      <c r="E61" s="4">
        <v>4.3890000000000002</v>
      </c>
      <c r="F61" s="5">
        <v>4.5547711227500454E-4</v>
      </c>
      <c r="G61" s="5">
        <v>-1.816239316239332E-2</v>
      </c>
    </row>
    <row r="62" spans="1:7" x14ac:dyDescent="0.35">
      <c r="A62" s="3">
        <v>44109</v>
      </c>
      <c r="B62" s="4">
        <v>4.548</v>
      </c>
      <c r="C62" s="4">
        <v>4.1500000000000004</v>
      </c>
      <c r="D62" s="4">
        <v>4.3890000000000002</v>
      </c>
      <c r="E62" s="4">
        <v>4.1900000000000004</v>
      </c>
      <c r="F62" s="5">
        <v>4.5340624287992681E-2</v>
      </c>
      <c r="G62" s="5">
        <v>-3.2613936076684169E-3</v>
      </c>
    </row>
    <row r="63" spans="1:7" x14ac:dyDescent="0.35">
      <c r="A63" s="3">
        <v>44110</v>
      </c>
      <c r="B63" s="4">
        <v>4.1769999999999996</v>
      </c>
      <c r="C63" s="4">
        <v>3.58</v>
      </c>
      <c r="D63" s="4">
        <v>4.1769999999999996</v>
      </c>
      <c r="E63" s="4">
        <v>3.58</v>
      </c>
      <c r="F63" s="5">
        <v>0.14558472553699287</v>
      </c>
      <c r="G63" s="5">
        <v>3.6493668023518722E-2</v>
      </c>
    </row>
    <row r="64" spans="1:7" x14ac:dyDescent="0.35">
      <c r="A64" s="3">
        <v>44111</v>
      </c>
      <c r="B64" s="4">
        <v>3.9249999999999998</v>
      </c>
      <c r="C64" s="4">
        <v>3.4660000000000002</v>
      </c>
      <c r="D64" s="4">
        <v>3.58</v>
      </c>
      <c r="E64" s="4">
        <v>3.9249999999999998</v>
      </c>
      <c r="F64" s="5">
        <v>-9.636871508379885E-2</v>
      </c>
      <c r="G64" s="5">
        <v>-3.1098723778788528E-3</v>
      </c>
    </row>
    <row r="65" spans="1:7" x14ac:dyDescent="0.35">
      <c r="A65" s="3">
        <v>44112</v>
      </c>
      <c r="B65" s="4">
        <v>4.0540000000000003</v>
      </c>
      <c r="C65" s="4">
        <v>3.738</v>
      </c>
      <c r="D65" s="4">
        <v>3.9350000000000001</v>
      </c>
      <c r="E65" s="4">
        <v>3.9660000000000002</v>
      </c>
      <c r="F65" s="5">
        <v>-1.0445859872611596E-2</v>
      </c>
      <c r="G65" s="5">
        <v>-2.7170892925038714E-2</v>
      </c>
    </row>
    <row r="66" spans="1:7" x14ac:dyDescent="0.35">
      <c r="A66" s="3">
        <v>44113</v>
      </c>
      <c r="B66" s="4">
        <v>4.3789999999999996</v>
      </c>
      <c r="C66" s="4">
        <v>3.8250000000000002</v>
      </c>
      <c r="D66" s="4">
        <v>3.9660000000000002</v>
      </c>
      <c r="E66" s="4">
        <v>4.2919999999999998</v>
      </c>
      <c r="F66" s="5">
        <v>-8.2198688855269708E-2</v>
      </c>
      <c r="G66" s="5">
        <v>-4.0461275626423765E-2</v>
      </c>
    </row>
    <row r="67" spans="1:7" x14ac:dyDescent="0.35">
      <c r="A67" s="3">
        <v>44114</v>
      </c>
      <c r="B67" s="4">
        <v>4.4649999999999999</v>
      </c>
      <c r="C67" s="4">
        <v>4.1840000000000002</v>
      </c>
      <c r="D67" s="4">
        <v>4.2919999999999998</v>
      </c>
      <c r="E67" s="4">
        <v>4.2910000000000004</v>
      </c>
      <c r="F67" s="5">
        <v>2.3299161230183607E-4</v>
      </c>
      <c r="G67" s="5">
        <v>-1.4969486330423276E-2</v>
      </c>
    </row>
    <row r="68" spans="1:7" x14ac:dyDescent="0.35">
      <c r="A68" s="3">
        <v>44115</v>
      </c>
      <c r="B68" s="4">
        <v>4.3390000000000004</v>
      </c>
      <c r="C68" s="4">
        <v>4.0750000000000002</v>
      </c>
      <c r="D68" s="4">
        <v>4.2910000000000004</v>
      </c>
      <c r="E68" s="4">
        <v>4.1589999999999998</v>
      </c>
      <c r="F68" s="5">
        <v>3.0762060125844926E-2</v>
      </c>
      <c r="G68" s="5">
        <v>-9.4100517687663032E-3</v>
      </c>
    </row>
    <row r="69" spans="1:7" x14ac:dyDescent="0.35">
      <c r="A69" s="3">
        <v>44116</v>
      </c>
      <c r="B69" s="4">
        <v>4.6749999999999998</v>
      </c>
      <c r="C69" s="4">
        <v>4.1749999999999998</v>
      </c>
      <c r="D69" s="4">
        <v>4.1589999999999998</v>
      </c>
      <c r="E69" s="4">
        <v>4.633</v>
      </c>
      <c r="F69" s="5">
        <v>-0.11396970425583075</v>
      </c>
      <c r="G69" s="5">
        <v>-3.3496273739882954E-2</v>
      </c>
    </row>
    <row r="70" spans="1:7" x14ac:dyDescent="0.35">
      <c r="A70" s="3">
        <v>44117</v>
      </c>
      <c r="B70" s="4">
        <v>4.6790000000000003</v>
      </c>
      <c r="C70" s="4">
        <v>4.3680000000000003</v>
      </c>
      <c r="D70" s="4">
        <v>4.633</v>
      </c>
      <c r="E70" s="4">
        <v>4.5010000000000003</v>
      </c>
      <c r="F70" s="5">
        <v>2.8491258363910976E-2</v>
      </c>
      <c r="G70" s="5">
        <v>1.421519216355227E-2</v>
      </c>
    </row>
    <row r="71" spans="1:7" x14ac:dyDescent="0.35">
      <c r="A71" s="3">
        <v>44118</v>
      </c>
      <c r="B71" s="4">
        <v>4.5750000000000002</v>
      </c>
      <c r="C71" s="4">
        <v>4.2709999999999999</v>
      </c>
      <c r="D71" s="4">
        <v>4.5010000000000003</v>
      </c>
      <c r="E71" s="4">
        <v>4.2789999999999999</v>
      </c>
      <c r="F71" s="5">
        <v>4.9322372806043235E-2</v>
      </c>
      <c r="G71" s="5">
        <v>6.0302561547941336E-3</v>
      </c>
    </row>
    <row r="72" spans="1:7" x14ac:dyDescent="0.35">
      <c r="A72" s="3">
        <v>44119</v>
      </c>
      <c r="B72" s="4">
        <v>4.298</v>
      </c>
      <c r="C72" s="4">
        <v>3.9</v>
      </c>
      <c r="D72" s="4">
        <v>4.298</v>
      </c>
      <c r="E72" s="4">
        <v>3.9</v>
      </c>
      <c r="F72" s="5">
        <v>8.8572096284178503E-2</v>
      </c>
      <c r="G72" s="5">
        <v>3.7192371607185359E-3</v>
      </c>
    </row>
    <row r="73" spans="1:7" x14ac:dyDescent="0.35">
      <c r="A73" s="3">
        <v>44120</v>
      </c>
      <c r="B73" s="4">
        <v>4.1390000000000002</v>
      </c>
      <c r="C73" s="4">
        <v>3.7679999999999998</v>
      </c>
      <c r="D73" s="4">
        <v>3.9079999999999999</v>
      </c>
      <c r="E73" s="4">
        <v>3.9009999999999998</v>
      </c>
      <c r="F73" s="5">
        <v>-2.5641025641021109E-4</v>
      </c>
      <c r="G73" s="5">
        <v>3.2088959491660018E-2</v>
      </c>
    </row>
    <row r="74" spans="1:7" x14ac:dyDescent="0.35">
      <c r="A74" s="3">
        <v>44121</v>
      </c>
      <c r="B74" s="4">
        <v>4.0039999999999996</v>
      </c>
      <c r="C74" s="4">
        <v>3.8719999999999999</v>
      </c>
      <c r="D74" s="4">
        <v>3.9</v>
      </c>
      <c r="E74" s="4">
        <v>3.9489999999999998</v>
      </c>
      <c r="F74" s="5">
        <v>-1.2304537298128748E-2</v>
      </c>
      <c r="G74" s="5">
        <v>-8.3976147491657827E-3</v>
      </c>
    </row>
    <row r="75" spans="1:7" x14ac:dyDescent="0.35">
      <c r="A75" s="3">
        <v>44122</v>
      </c>
      <c r="B75" s="4">
        <v>4.0389999999999997</v>
      </c>
      <c r="C75" s="4">
        <v>3.927</v>
      </c>
      <c r="D75" s="4">
        <v>3.9670000000000001</v>
      </c>
      <c r="E75" s="4">
        <v>3.9849999999999999</v>
      </c>
      <c r="F75" s="5">
        <v>-9.1162319574575879E-3</v>
      </c>
      <c r="G75" s="5">
        <v>-2.6556354265563575E-2</v>
      </c>
    </row>
    <row r="76" spans="1:7" x14ac:dyDescent="0.35">
      <c r="A76" s="3">
        <v>44123</v>
      </c>
      <c r="B76" s="4">
        <v>4.08</v>
      </c>
      <c r="C76" s="4">
        <v>3.706</v>
      </c>
      <c r="D76" s="4">
        <v>3.9849999999999999</v>
      </c>
      <c r="E76" s="4">
        <v>3.722</v>
      </c>
      <c r="F76" s="5">
        <v>6.5997490589711383E-2</v>
      </c>
      <c r="G76" s="5">
        <v>-2.5631540006343378E-3</v>
      </c>
    </row>
    <row r="77" spans="1:7" x14ac:dyDescent="0.35">
      <c r="A77" s="3">
        <v>44124</v>
      </c>
      <c r="B77" s="4">
        <v>3.778</v>
      </c>
      <c r="C77" s="4">
        <v>3.3330000000000002</v>
      </c>
      <c r="D77" s="4">
        <v>3.722</v>
      </c>
      <c r="E77" s="4">
        <v>3.698</v>
      </c>
      <c r="F77" s="5">
        <v>6.4481461579796173E-3</v>
      </c>
      <c r="G77" s="5">
        <v>2.8122611422998878E-2</v>
      </c>
    </row>
    <row r="78" spans="1:7" x14ac:dyDescent="0.35">
      <c r="A78" s="3">
        <v>44125</v>
      </c>
      <c r="B78" s="4">
        <v>4.0350000000000001</v>
      </c>
      <c r="C78" s="4">
        <v>3.476</v>
      </c>
      <c r="D78" s="4">
        <v>3.698</v>
      </c>
      <c r="E78" s="4">
        <v>3.524</v>
      </c>
      <c r="F78" s="5">
        <v>4.7052460789616002E-2</v>
      </c>
      <c r="G78" s="5">
        <v>-6.1615230243531993E-2</v>
      </c>
    </row>
    <row r="79" spans="1:7" x14ac:dyDescent="0.35">
      <c r="A79" s="3">
        <v>44126</v>
      </c>
      <c r="B79" s="4">
        <v>4.1059999999999999</v>
      </c>
      <c r="C79" s="4">
        <v>3.5619999999999998</v>
      </c>
      <c r="D79" s="4">
        <v>3.524</v>
      </c>
      <c r="E79" s="4">
        <v>3.891</v>
      </c>
      <c r="F79" s="5">
        <v>-0.10414301929625425</v>
      </c>
      <c r="G79" s="5">
        <v>-5.8856588157155221E-2</v>
      </c>
    </row>
    <row r="80" spans="1:7" x14ac:dyDescent="0.35">
      <c r="A80" s="3">
        <v>44127</v>
      </c>
      <c r="B80" s="4">
        <v>3.9169999999999998</v>
      </c>
      <c r="C80" s="4">
        <v>3.7080000000000002</v>
      </c>
      <c r="D80" s="4">
        <v>3.891</v>
      </c>
      <c r="E80" s="4">
        <v>3.798</v>
      </c>
      <c r="F80" s="5">
        <v>2.390131071703927E-2</v>
      </c>
      <c r="G80" s="5">
        <v>1.189384800965021E-2</v>
      </c>
    </row>
    <row r="81" spans="1:7" x14ac:dyDescent="0.35">
      <c r="A81" s="3">
        <v>44128</v>
      </c>
      <c r="B81" s="4">
        <v>3.8959999999999999</v>
      </c>
      <c r="C81" s="4">
        <v>3.7669999999999999</v>
      </c>
      <c r="D81" s="4">
        <v>3.798</v>
      </c>
      <c r="E81" s="4">
        <v>3.7789999999999999</v>
      </c>
      <c r="F81" s="5">
        <v>5.0026329647182566E-3</v>
      </c>
      <c r="G81" s="5">
        <v>-7.275923529555417E-3</v>
      </c>
    </row>
    <row r="82" spans="1:7" x14ac:dyDescent="0.35">
      <c r="A82" s="3">
        <v>44129</v>
      </c>
      <c r="B82" s="4">
        <v>3.76</v>
      </c>
      <c r="C82" s="4">
        <v>3.5920000000000001</v>
      </c>
      <c r="D82" s="4">
        <v>3.7789999999999999</v>
      </c>
      <c r="E82" s="4">
        <v>3.665</v>
      </c>
      <c r="F82" s="5">
        <v>3.0166710770044958E-2</v>
      </c>
      <c r="G82" s="5">
        <v>1.5004241910071547E-2</v>
      </c>
    </row>
    <row r="83" spans="1:7" x14ac:dyDescent="0.35">
      <c r="A83" s="3">
        <v>44130</v>
      </c>
      <c r="B83" s="4">
        <v>3.7120000000000002</v>
      </c>
      <c r="C83" s="4">
        <v>3.5249999999999999</v>
      </c>
      <c r="D83" s="4">
        <v>3.665</v>
      </c>
      <c r="E83" s="4">
        <v>3.5419999999999998</v>
      </c>
      <c r="F83" s="5">
        <v>3.3560709413369749E-2</v>
      </c>
      <c r="G83" s="5">
        <v>3.2606555763362577E-2</v>
      </c>
    </row>
    <row r="84" spans="1:7" x14ac:dyDescent="0.35">
      <c r="A84" s="3">
        <v>44131</v>
      </c>
      <c r="B84" s="4">
        <v>3.734</v>
      </c>
      <c r="C84" s="4">
        <v>3.4849999999999999</v>
      </c>
      <c r="D84" s="4">
        <v>3.5419999999999998</v>
      </c>
      <c r="E84" s="4">
        <v>3.556</v>
      </c>
      <c r="F84" s="5">
        <v>-3.9525691699604515E-3</v>
      </c>
      <c r="G84" s="5">
        <v>-2.7040777390552329E-2</v>
      </c>
    </row>
    <row r="85" spans="1:7" x14ac:dyDescent="0.35">
      <c r="A85" s="3">
        <v>44132</v>
      </c>
      <c r="B85" s="4">
        <v>3.7250000000000001</v>
      </c>
      <c r="C85" s="4">
        <v>3.319</v>
      </c>
      <c r="D85" s="4">
        <v>3.556</v>
      </c>
      <c r="E85" s="4">
        <v>3.6150000000000002</v>
      </c>
      <c r="F85" s="5">
        <v>-1.659167604049494E-2</v>
      </c>
      <c r="G85" s="5">
        <v>3.7078317729231758E-2</v>
      </c>
    </row>
    <row r="86" spans="1:7" x14ac:dyDescent="0.35">
      <c r="A86" s="3">
        <v>44133</v>
      </c>
      <c r="B86" s="4">
        <v>3.8490000000000002</v>
      </c>
      <c r="C86" s="4">
        <v>3.2349999999999999</v>
      </c>
      <c r="D86" s="4">
        <v>3.6150000000000002</v>
      </c>
      <c r="E86" s="4">
        <v>3.246</v>
      </c>
      <c r="F86" s="5">
        <v>0.10207468879668058</v>
      </c>
      <c r="G86" s="5">
        <v>3.163824369164181E-3</v>
      </c>
    </row>
    <row r="87" spans="1:7" x14ac:dyDescent="0.35">
      <c r="A87" s="3">
        <v>44134</v>
      </c>
      <c r="B87" s="4">
        <v>3.3029999999999999</v>
      </c>
      <c r="C87" s="4">
        <v>3.0329999999999999</v>
      </c>
      <c r="D87" s="4">
        <v>3.246</v>
      </c>
      <c r="E87" s="4">
        <v>3.1070000000000002</v>
      </c>
      <c r="F87" s="5">
        <v>4.2821934688847763E-2</v>
      </c>
      <c r="G87" s="5">
        <v>1.2334210662125256E-2</v>
      </c>
    </row>
    <row r="88" spans="1:7" x14ac:dyDescent="0.35">
      <c r="A88" s="3">
        <v>44135</v>
      </c>
      <c r="B88" s="4">
        <v>3.1829999999999998</v>
      </c>
      <c r="C88" s="4">
        <v>3.0089999999999999</v>
      </c>
      <c r="D88" s="4">
        <v>3.1070000000000002</v>
      </c>
      <c r="E88" s="4">
        <v>3.0230000000000001</v>
      </c>
      <c r="F88" s="5">
        <v>2.7035725780495623E-2</v>
      </c>
      <c r="G88" s="5">
        <v>-1.0476538823283477E-2</v>
      </c>
    </row>
    <row r="89" spans="1:7" x14ac:dyDescent="0.35">
      <c r="A89" s="3">
        <v>44136</v>
      </c>
      <c r="B89" s="4">
        <v>3.0190000000000001</v>
      </c>
      <c r="C89" s="4">
        <v>2.774</v>
      </c>
      <c r="D89" s="4">
        <v>3.0230000000000001</v>
      </c>
      <c r="E89" s="4">
        <v>2.9049999999999998</v>
      </c>
      <c r="F89" s="5">
        <v>3.9034072113794394E-2</v>
      </c>
      <c r="G89" s="5">
        <v>-2.5803449078263707E-2</v>
      </c>
    </row>
    <row r="90" spans="1:7" x14ac:dyDescent="0.35">
      <c r="A90" s="3">
        <v>44137</v>
      </c>
      <c r="B90" s="4">
        <v>2.9729999999999999</v>
      </c>
      <c r="C90" s="4">
        <v>2.6150000000000002</v>
      </c>
      <c r="D90" s="4">
        <v>2.9049999999999998</v>
      </c>
      <c r="E90" s="4">
        <v>2.6219999999999999</v>
      </c>
      <c r="F90" s="5">
        <v>9.7418244406196175E-2</v>
      </c>
      <c r="G90" s="5">
        <v>3.3119092627599156E-2</v>
      </c>
    </row>
    <row r="91" spans="1:7" x14ac:dyDescent="0.35">
      <c r="A91" s="3">
        <v>44138</v>
      </c>
      <c r="B91" s="4">
        <v>2.7109999999999999</v>
      </c>
      <c r="C91" s="4">
        <v>2.5329999999999999</v>
      </c>
      <c r="D91" s="4">
        <v>2.6219999999999999</v>
      </c>
      <c r="E91" s="4">
        <v>2.5750000000000002</v>
      </c>
      <c r="F91" s="5">
        <v>1.7925247902364494E-2</v>
      </c>
      <c r="G91" s="5">
        <v>-1.191314095044449E-2</v>
      </c>
    </row>
    <row r="92" spans="1:7" x14ac:dyDescent="0.35">
      <c r="A92" s="3">
        <v>44139</v>
      </c>
      <c r="B92" s="4">
        <v>2.5859999999999999</v>
      </c>
      <c r="C92" s="4">
        <v>2.573</v>
      </c>
      <c r="D92" s="4">
        <v>2.5750000000000002</v>
      </c>
      <c r="E92" s="4">
        <v>2.5859999999999999</v>
      </c>
      <c r="F92" s="5">
        <v>-4.2718446601941462E-3</v>
      </c>
      <c r="G92" s="5">
        <v>-1.5456746870001759E-4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F4B33-830F-4241-B916-EF5D92F88246}">
  <sheetPr codeName="Sheet9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0</v>
      </c>
      <c r="C2" s="4">
        <v>0</v>
      </c>
      <c r="D2" s="4">
        <v>0</v>
      </c>
      <c r="E2" s="4">
        <v>0</v>
      </c>
    </row>
    <row r="3" spans="1:7" x14ac:dyDescent="0.35">
      <c r="A3" s="3">
        <v>44050</v>
      </c>
      <c r="B3" s="4">
        <v>0</v>
      </c>
      <c r="C3" s="4">
        <v>0</v>
      </c>
      <c r="D3" s="4">
        <v>0</v>
      </c>
      <c r="E3" s="4">
        <v>0</v>
      </c>
      <c r="G3" s="5">
        <v>3.9160591332523365E-2</v>
      </c>
    </row>
    <row r="4" spans="1:7" x14ac:dyDescent="0.35">
      <c r="A4" s="3">
        <v>44051</v>
      </c>
      <c r="B4" s="4">
        <v>0</v>
      </c>
      <c r="C4" s="4">
        <v>0</v>
      </c>
      <c r="D4" s="4">
        <v>0</v>
      </c>
      <c r="E4" s="4">
        <v>0</v>
      </c>
      <c r="G4" s="5">
        <v>-4.739573728166091E-2</v>
      </c>
    </row>
    <row r="5" spans="1:7" x14ac:dyDescent="0.35">
      <c r="A5" s="3">
        <v>44052</v>
      </c>
      <c r="B5" s="4">
        <v>0</v>
      </c>
      <c r="C5" s="4">
        <v>0</v>
      </c>
      <c r="D5" s="4">
        <v>0</v>
      </c>
      <c r="E5" s="4">
        <v>0</v>
      </c>
      <c r="G5" s="5">
        <v>1.8311701378408318E-2</v>
      </c>
    </row>
    <row r="6" spans="1:7" x14ac:dyDescent="0.35">
      <c r="A6" s="3">
        <v>44053</v>
      </c>
      <c r="B6" s="4">
        <v>0</v>
      </c>
      <c r="C6" s="4">
        <v>0</v>
      </c>
      <c r="D6" s="4">
        <v>0</v>
      </c>
      <c r="E6" s="4">
        <v>0</v>
      </c>
      <c r="G6" s="5">
        <v>-1.3913088039356314E-2</v>
      </c>
    </row>
    <row r="7" spans="1:7" x14ac:dyDescent="0.35">
      <c r="A7" s="3">
        <v>44054</v>
      </c>
      <c r="B7" s="4">
        <v>0</v>
      </c>
      <c r="C7" s="4">
        <v>0</v>
      </c>
      <c r="D7" s="4">
        <v>0</v>
      </c>
      <c r="E7" s="4">
        <v>0</v>
      </c>
      <c r="G7" s="5">
        <v>4.2379520355816047E-2</v>
      </c>
    </row>
    <row r="8" spans="1:7" x14ac:dyDescent="0.35">
      <c r="A8" s="3">
        <v>44055</v>
      </c>
      <c r="B8" s="4">
        <v>0</v>
      </c>
      <c r="C8" s="4">
        <v>0</v>
      </c>
      <c r="D8" s="4">
        <v>0</v>
      </c>
      <c r="E8" s="4">
        <v>0</v>
      </c>
      <c r="G8" s="5">
        <v>-2.1771256663323912E-2</v>
      </c>
    </row>
    <row r="9" spans="1:7" x14ac:dyDescent="0.35">
      <c r="A9" s="3">
        <v>44056</v>
      </c>
      <c r="B9" s="4">
        <v>0</v>
      </c>
      <c r="C9" s="4">
        <v>0</v>
      </c>
      <c r="D9" s="4">
        <v>0</v>
      </c>
      <c r="E9" s="4">
        <v>0</v>
      </c>
      <c r="G9" s="5">
        <v>-9.7574834060797144E-2</v>
      </c>
    </row>
    <row r="10" spans="1:7" x14ac:dyDescent="0.35">
      <c r="A10" s="3">
        <v>44057</v>
      </c>
      <c r="B10" s="4">
        <v>0</v>
      </c>
      <c r="C10" s="4">
        <v>0</v>
      </c>
      <c r="D10" s="4">
        <v>0</v>
      </c>
      <c r="E10" s="4">
        <v>0</v>
      </c>
      <c r="G10" s="5">
        <v>-3.1861072546297331E-2</v>
      </c>
    </row>
    <row r="11" spans="1:7" x14ac:dyDescent="0.35">
      <c r="A11" s="3">
        <v>44058</v>
      </c>
      <c r="B11" s="4">
        <v>0</v>
      </c>
      <c r="C11" s="4">
        <v>0</v>
      </c>
      <c r="D11" s="4">
        <v>0</v>
      </c>
      <c r="E11" s="4">
        <v>0</v>
      </c>
      <c r="G11" s="5">
        <v>1.3545871245809638E-2</v>
      </c>
    </row>
    <row r="12" spans="1:7" x14ac:dyDescent="0.35">
      <c r="A12" s="3">
        <v>44059</v>
      </c>
      <c r="B12" s="4">
        <v>0</v>
      </c>
      <c r="C12" s="4">
        <v>0</v>
      </c>
      <c r="D12" s="4">
        <v>0</v>
      </c>
      <c r="E12" s="4">
        <v>0</v>
      </c>
      <c r="G12" s="5">
        <v>-2.9590586494672166E-3</v>
      </c>
    </row>
    <row r="13" spans="1:7" x14ac:dyDescent="0.35">
      <c r="A13" s="3">
        <v>44060</v>
      </c>
      <c r="B13" s="4">
        <v>0</v>
      </c>
      <c r="C13" s="4">
        <v>0</v>
      </c>
      <c r="D13" s="4">
        <v>0</v>
      </c>
      <c r="E13" s="4">
        <v>0</v>
      </c>
      <c r="G13" s="5">
        <v>5.9698052322232353E-3</v>
      </c>
    </row>
    <row r="14" spans="1:7" x14ac:dyDescent="0.35">
      <c r="A14" s="3">
        <v>44061</v>
      </c>
      <c r="B14" s="4">
        <v>0</v>
      </c>
      <c r="C14" s="4">
        <v>0</v>
      </c>
      <c r="D14" s="4">
        <v>0</v>
      </c>
      <c r="E14" s="4">
        <v>0</v>
      </c>
      <c r="G14" s="5">
        <v>2.1031396373417444E-2</v>
      </c>
    </row>
    <row r="15" spans="1:7" x14ac:dyDescent="0.35">
      <c r="A15" s="3">
        <v>44062</v>
      </c>
      <c r="B15" s="4">
        <v>0</v>
      </c>
      <c r="C15" s="4">
        <v>0</v>
      </c>
      <c r="D15" s="4">
        <v>0</v>
      </c>
      <c r="E15" s="4">
        <v>0</v>
      </c>
      <c r="G15" s="5">
        <v>3.3965750017764473E-2</v>
      </c>
    </row>
    <row r="16" spans="1:7" x14ac:dyDescent="0.35">
      <c r="A16" s="3">
        <v>44063</v>
      </c>
      <c r="B16" s="4">
        <v>0</v>
      </c>
      <c r="C16" s="4">
        <v>0</v>
      </c>
      <c r="D16" s="4">
        <v>0</v>
      </c>
      <c r="E16" s="4">
        <v>0</v>
      </c>
      <c r="G16" s="5">
        <v>-2.0080912100036707E-2</v>
      </c>
    </row>
    <row r="17" spans="1:7" x14ac:dyDescent="0.35">
      <c r="A17" s="3">
        <v>44064</v>
      </c>
      <c r="B17" s="4">
        <v>0</v>
      </c>
      <c r="C17" s="4">
        <v>0</v>
      </c>
      <c r="D17" s="4">
        <v>0</v>
      </c>
      <c r="E17" s="4">
        <v>0</v>
      </c>
      <c r="G17" s="5">
        <v>6.7445437938659758E-2</v>
      </c>
    </row>
    <row r="18" spans="1:7" x14ac:dyDescent="0.35">
      <c r="A18" s="3">
        <v>44065</v>
      </c>
      <c r="B18" s="4">
        <v>0</v>
      </c>
      <c r="C18" s="4">
        <v>0</v>
      </c>
      <c r="D18" s="4">
        <v>0</v>
      </c>
      <c r="E18" s="4">
        <v>0</v>
      </c>
      <c r="G18" s="5">
        <v>-1.9279344296097678E-2</v>
      </c>
    </row>
    <row r="19" spans="1:7" x14ac:dyDescent="0.35">
      <c r="A19" s="3">
        <v>44066</v>
      </c>
      <c r="B19" s="4">
        <v>0</v>
      </c>
      <c r="C19" s="4">
        <v>0</v>
      </c>
      <c r="D19" s="4">
        <v>0</v>
      </c>
      <c r="E19" s="4">
        <v>0</v>
      </c>
      <c r="G19" s="5">
        <v>1.1986041571840245E-2</v>
      </c>
    </row>
    <row r="20" spans="1:7" x14ac:dyDescent="0.35">
      <c r="A20" s="3">
        <v>44067</v>
      </c>
      <c r="B20" s="4">
        <v>0</v>
      </c>
      <c r="C20" s="4">
        <v>0</v>
      </c>
      <c r="D20" s="4">
        <v>0</v>
      </c>
      <c r="E20" s="4">
        <v>0</v>
      </c>
      <c r="G20" s="5">
        <v>-4.4302825552825498E-2</v>
      </c>
    </row>
    <row r="21" spans="1:7" x14ac:dyDescent="0.35">
      <c r="A21" s="3">
        <v>44068</v>
      </c>
      <c r="B21" s="4">
        <v>0</v>
      </c>
      <c r="C21" s="4">
        <v>0</v>
      </c>
      <c r="D21" s="4">
        <v>0</v>
      </c>
      <c r="E21" s="4">
        <v>0</v>
      </c>
      <c r="G21" s="5">
        <v>6.051025659877951E-2</v>
      </c>
    </row>
    <row r="22" spans="1:7" x14ac:dyDescent="0.35">
      <c r="A22" s="3">
        <v>44069</v>
      </c>
      <c r="B22" s="4">
        <v>0</v>
      </c>
      <c r="C22" s="4">
        <v>0</v>
      </c>
      <c r="D22" s="4">
        <v>0</v>
      </c>
      <c r="E22" s="4">
        <v>0</v>
      </c>
      <c r="G22" s="5">
        <v>-6.9911827620390277E-3</v>
      </c>
    </row>
    <row r="23" spans="1:7" x14ac:dyDescent="0.35">
      <c r="A23" s="3">
        <v>44070</v>
      </c>
      <c r="B23" s="4">
        <v>0</v>
      </c>
      <c r="C23" s="4">
        <v>0</v>
      </c>
      <c r="D23" s="4">
        <v>0</v>
      </c>
      <c r="E23" s="4">
        <v>0</v>
      </c>
      <c r="G23" s="5">
        <v>7.8493342313868952E-3</v>
      </c>
    </row>
    <row r="24" spans="1:7" x14ac:dyDescent="0.35">
      <c r="A24" s="3">
        <v>44071</v>
      </c>
      <c r="B24" s="4">
        <v>0</v>
      </c>
      <c r="C24" s="4">
        <v>0</v>
      </c>
      <c r="D24" s="4">
        <v>0</v>
      </c>
      <c r="E24" s="4">
        <v>0</v>
      </c>
      <c r="G24" s="5">
        <v>-3.2768479594767586E-2</v>
      </c>
    </row>
    <row r="25" spans="1:7" x14ac:dyDescent="0.35">
      <c r="A25" s="3">
        <v>44072</v>
      </c>
      <c r="B25" s="4">
        <v>0</v>
      </c>
      <c r="C25" s="4">
        <v>0</v>
      </c>
      <c r="D25" s="4">
        <v>0</v>
      </c>
      <c r="E25" s="4">
        <v>0</v>
      </c>
      <c r="G25" s="5">
        <v>-8.6211255498811479E-3</v>
      </c>
    </row>
    <row r="26" spans="1:7" x14ac:dyDescent="0.35">
      <c r="A26" s="3">
        <v>44073</v>
      </c>
      <c r="B26" s="4">
        <v>0</v>
      </c>
      <c r="C26" s="4">
        <v>0</v>
      </c>
      <c r="D26" s="4">
        <v>0</v>
      </c>
      <c r="E26" s="4">
        <v>0</v>
      </c>
      <c r="G26" s="5">
        <v>-7.5773906504574606E-2</v>
      </c>
    </row>
    <row r="27" spans="1:7" x14ac:dyDescent="0.35">
      <c r="A27" s="3">
        <v>44074</v>
      </c>
      <c r="B27" s="4">
        <v>0</v>
      </c>
      <c r="C27" s="4">
        <v>0</v>
      </c>
      <c r="D27" s="4">
        <v>0</v>
      </c>
      <c r="E27" s="4">
        <v>0</v>
      </c>
      <c r="G27" s="5">
        <v>-1.1556922503378475E-2</v>
      </c>
    </row>
    <row r="28" spans="1:7" x14ac:dyDescent="0.35">
      <c r="A28" s="3">
        <v>44075</v>
      </c>
      <c r="B28" s="4">
        <v>0</v>
      </c>
      <c r="C28" s="4">
        <v>0</v>
      </c>
      <c r="D28" s="4">
        <v>0</v>
      </c>
      <c r="E28" s="4">
        <v>0</v>
      </c>
      <c r="G28" s="5">
        <v>-9.6397475468742888E-2</v>
      </c>
    </row>
    <row r="29" spans="1:7" x14ac:dyDescent="0.35">
      <c r="A29" s="3">
        <v>44076</v>
      </c>
      <c r="B29" s="4">
        <v>0</v>
      </c>
      <c r="C29" s="4">
        <v>0</v>
      </c>
      <c r="D29" s="4">
        <v>0</v>
      </c>
      <c r="E29" s="4">
        <v>0</v>
      </c>
      <c r="G29" s="5">
        <v>7.5967982520641186E-2</v>
      </c>
    </row>
    <row r="30" spans="1:7" x14ac:dyDescent="0.35">
      <c r="A30" s="3">
        <v>44077</v>
      </c>
      <c r="B30" s="4">
        <v>0</v>
      </c>
      <c r="C30" s="4">
        <v>0</v>
      </c>
      <c r="D30" s="4">
        <v>0</v>
      </c>
      <c r="E30" s="4">
        <v>0</v>
      </c>
      <c r="G30" s="5">
        <v>0.1304367596571403</v>
      </c>
    </row>
    <row r="31" spans="1:7" x14ac:dyDescent="0.35">
      <c r="A31" s="3">
        <v>44078</v>
      </c>
      <c r="B31" s="4">
        <v>0</v>
      </c>
      <c r="C31" s="4">
        <v>0</v>
      </c>
      <c r="D31" s="4">
        <v>0</v>
      </c>
      <c r="E31" s="4">
        <v>0</v>
      </c>
      <c r="G31" s="5">
        <v>-9.0205511687497797E-3</v>
      </c>
    </row>
    <row r="32" spans="1:7" x14ac:dyDescent="0.35">
      <c r="A32" s="3">
        <v>44079</v>
      </c>
      <c r="B32" s="4">
        <v>0</v>
      </c>
      <c r="C32" s="4">
        <v>0</v>
      </c>
      <c r="D32" s="4">
        <v>0</v>
      </c>
      <c r="E32" s="4">
        <v>0</v>
      </c>
      <c r="G32" s="5">
        <v>0.13130004405172191</v>
      </c>
    </row>
    <row r="33" spans="1:7" x14ac:dyDescent="0.35">
      <c r="A33" s="3">
        <v>44080</v>
      </c>
      <c r="B33" s="4">
        <v>0</v>
      </c>
      <c r="C33" s="4">
        <v>0</v>
      </c>
      <c r="D33" s="4">
        <v>0</v>
      </c>
      <c r="E33" s="4">
        <v>0</v>
      </c>
      <c r="G33" s="5">
        <v>-5.2052261066698469E-2</v>
      </c>
    </row>
    <row r="34" spans="1:7" x14ac:dyDescent="0.35">
      <c r="A34" s="3">
        <v>44081</v>
      </c>
      <c r="B34" s="4">
        <v>0</v>
      </c>
      <c r="C34" s="4">
        <v>0</v>
      </c>
      <c r="D34" s="4">
        <v>0</v>
      </c>
      <c r="E34" s="4">
        <v>0</v>
      </c>
      <c r="G34" s="5">
        <v>-2.8637046698234414E-3</v>
      </c>
    </row>
    <row r="35" spans="1:7" x14ac:dyDescent="0.35">
      <c r="A35" s="3">
        <v>44082</v>
      </c>
      <c r="B35" s="4">
        <v>0</v>
      </c>
      <c r="C35" s="4">
        <v>0</v>
      </c>
      <c r="D35" s="4">
        <v>0</v>
      </c>
      <c r="E35" s="4">
        <v>0</v>
      </c>
      <c r="G35" s="5">
        <v>4.5942889454339886E-2</v>
      </c>
    </row>
    <row r="36" spans="1:7" x14ac:dyDescent="0.35">
      <c r="A36" s="3">
        <v>44083</v>
      </c>
      <c r="B36" s="4">
        <v>0</v>
      </c>
      <c r="C36" s="4">
        <v>0</v>
      </c>
      <c r="D36" s="4">
        <v>0</v>
      </c>
      <c r="E36" s="4">
        <v>0</v>
      </c>
      <c r="G36" s="5">
        <v>-4.0598607201066894E-2</v>
      </c>
    </row>
    <row r="37" spans="1:7" x14ac:dyDescent="0.35">
      <c r="A37" s="3">
        <v>44084</v>
      </c>
      <c r="B37" s="4">
        <v>0</v>
      </c>
      <c r="C37" s="4">
        <v>0</v>
      </c>
      <c r="D37" s="4">
        <v>0</v>
      </c>
      <c r="E37" s="4">
        <v>0</v>
      </c>
      <c r="G37" s="5">
        <v>-4.8241492239783579E-2</v>
      </c>
    </row>
    <row r="38" spans="1:7" x14ac:dyDescent="0.35">
      <c r="A38" s="3">
        <v>44085</v>
      </c>
      <c r="B38" s="4">
        <v>0</v>
      </c>
      <c r="C38" s="4">
        <v>0</v>
      </c>
      <c r="D38" s="4">
        <v>0</v>
      </c>
      <c r="E38" s="4">
        <v>0</v>
      </c>
      <c r="G38" s="5">
        <v>-1.6028688635931543E-2</v>
      </c>
    </row>
    <row r="39" spans="1:7" x14ac:dyDescent="0.35">
      <c r="A39" s="3">
        <v>44086</v>
      </c>
      <c r="B39" s="4">
        <v>0</v>
      </c>
      <c r="C39" s="4">
        <v>0</v>
      </c>
      <c r="D39" s="4">
        <v>0</v>
      </c>
      <c r="E39" s="4">
        <v>0</v>
      </c>
      <c r="G39" s="5">
        <v>-3.7567849407738274E-2</v>
      </c>
    </row>
    <row r="40" spans="1:7" x14ac:dyDescent="0.35">
      <c r="A40" s="3">
        <v>44087</v>
      </c>
      <c r="B40" s="4">
        <v>0</v>
      </c>
      <c r="C40" s="4">
        <v>0</v>
      </c>
      <c r="D40" s="4">
        <v>0</v>
      </c>
      <c r="E40" s="4">
        <v>0</v>
      </c>
      <c r="G40" s="5">
        <v>5.6076693124420318E-2</v>
      </c>
    </row>
    <row r="41" spans="1:7" x14ac:dyDescent="0.35">
      <c r="A41" s="3">
        <v>44088</v>
      </c>
      <c r="B41" s="4">
        <v>0</v>
      </c>
      <c r="C41" s="4">
        <v>0</v>
      </c>
      <c r="D41" s="4">
        <v>0</v>
      </c>
      <c r="E41" s="4">
        <v>0</v>
      </c>
      <c r="G41" s="5">
        <v>-2.9977066724909962E-2</v>
      </c>
    </row>
    <row r="42" spans="1:7" x14ac:dyDescent="0.35">
      <c r="A42" s="3">
        <v>44089</v>
      </c>
      <c r="B42" s="4">
        <v>0</v>
      </c>
      <c r="C42" s="4">
        <v>0</v>
      </c>
      <c r="D42" s="4">
        <v>0</v>
      </c>
      <c r="E42" s="4">
        <v>0</v>
      </c>
      <c r="G42" s="5">
        <v>3.4724062980437842E-2</v>
      </c>
    </row>
    <row r="43" spans="1:7" x14ac:dyDescent="0.35">
      <c r="A43" s="3">
        <v>44090</v>
      </c>
      <c r="B43" s="4">
        <v>0</v>
      </c>
      <c r="C43" s="4">
        <v>0</v>
      </c>
      <c r="D43" s="4">
        <v>0</v>
      </c>
      <c r="E43" s="4">
        <v>0</v>
      </c>
      <c r="G43" s="5">
        <v>-2.5538224956060951E-3</v>
      </c>
    </row>
    <row r="44" spans="1:7" x14ac:dyDescent="0.35">
      <c r="A44" s="3">
        <v>44091</v>
      </c>
      <c r="B44" s="4">
        <v>4.3099999999999996</v>
      </c>
      <c r="C44" s="4">
        <v>4.457E-3</v>
      </c>
      <c r="D44" s="4">
        <v>4.457E-3</v>
      </c>
      <c r="E44" s="4">
        <v>4.2249999999999996</v>
      </c>
      <c r="G44" s="5">
        <v>-6.6969788271385333E-2</v>
      </c>
    </row>
    <row r="45" spans="1:7" x14ac:dyDescent="0.35">
      <c r="A45" s="3">
        <v>44092</v>
      </c>
      <c r="B45" s="4">
        <v>8.67</v>
      </c>
      <c r="C45" s="4">
        <v>3.2930000000000001</v>
      </c>
      <c r="D45" s="4">
        <v>4.2249999999999996</v>
      </c>
      <c r="E45" s="4">
        <v>6.97</v>
      </c>
      <c r="F45" s="5">
        <v>-0.64970414201183435</v>
      </c>
      <c r="G45" s="5">
        <v>1.3015351440160194E-2</v>
      </c>
    </row>
    <row r="46" spans="1:7" x14ac:dyDescent="0.35">
      <c r="A46" s="3">
        <v>44093</v>
      </c>
      <c r="B46" s="4">
        <v>7.4859999999999998</v>
      </c>
      <c r="C46" s="4">
        <v>5.2370000000000001</v>
      </c>
      <c r="D46" s="4">
        <v>6.97</v>
      </c>
      <c r="E46" s="4">
        <v>5.73</v>
      </c>
      <c r="F46" s="5">
        <v>0.17790530846484931</v>
      </c>
      <c r="G46" s="5">
        <v>-2.0807865373109191E-3</v>
      </c>
    </row>
    <row r="47" spans="1:7" x14ac:dyDescent="0.35">
      <c r="A47" s="3">
        <v>44094</v>
      </c>
      <c r="B47" s="4">
        <v>6.0919999999999996</v>
      </c>
      <c r="C47" s="4">
        <v>4.7050000000000001</v>
      </c>
      <c r="D47" s="4">
        <v>5.73</v>
      </c>
      <c r="E47" s="4">
        <v>5.2080000000000002</v>
      </c>
      <c r="F47" s="5">
        <v>9.1099476439790661E-2</v>
      </c>
      <c r="G47" s="5">
        <v>3.6987048044228699E-2</v>
      </c>
    </row>
    <row r="48" spans="1:7" x14ac:dyDescent="0.35">
      <c r="A48" s="3">
        <v>44095</v>
      </c>
      <c r="B48" s="4">
        <v>5.6369999999999996</v>
      </c>
      <c r="C48" s="4">
        <v>4.085</v>
      </c>
      <c r="D48" s="4">
        <v>5.2080000000000002</v>
      </c>
      <c r="E48" s="4">
        <v>4.2519999999999998</v>
      </c>
      <c r="F48" s="5">
        <v>0.18356374807987719</v>
      </c>
      <c r="G48" s="5">
        <v>8.3095250929869025E-2</v>
      </c>
    </row>
    <row r="49" spans="1:7" x14ac:dyDescent="0.35">
      <c r="A49" s="3">
        <v>44096</v>
      </c>
      <c r="B49" s="4">
        <v>4.5490000000000004</v>
      </c>
      <c r="C49" s="4">
        <v>3.7010000000000001</v>
      </c>
      <c r="D49" s="4">
        <v>4.2519999999999998</v>
      </c>
      <c r="E49" s="4">
        <v>3.9129999999999998</v>
      </c>
      <c r="F49" s="5">
        <v>7.9727187206020678E-2</v>
      </c>
      <c r="G49" s="5">
        <v>-1.1934507187160159E-2</v>
      </c>
    </row>
    <row r="50" spans="1:7" x14ac:dyDescent="0.35">
      <c r="A50" s="3">
        <v>44097</v>
      </c>
      <c r="B50" s="4">
        <v>5.3929999999999998</v>
      </c>
      <c r="C50" s="4">
        <v>3.9060000000000001</v>
      </c>
      <c r="D50" s="4">
        <v>3.9129999999999998</v>
      </c>
      <c r="E50" s="4">
        <v>4.3680000000000003</v>
      </c>
      <c r="F50" s="5">
        <v>-0.11627906976744207</v>
      </c>
      <c r="G50" s="5">
        <v>6.989106753812635E-2</v>
      </c>
    </row>
    <row r="51" spans="1:7" x14ac:dyDescent="0.35">
      <c r="A51" s="3">
        <v>44098</v>
      </c>
      <c r="B51" s="4">
        <v>5.3</v>
      </c>
      <c r="C51" s="4">
        <v>4.2649999999999997</v>
      </c>
      <c r="D51" s="4">
        <v>4.3680000000000003</v>
      </c>
      <c r="E51" s="4">
        <v>5.1580000000000004</v>
      </c>
      <c r="F51" s="5">
        <v>-0.18086080586080588</v>
      </c>
      <c r="G51" s="5">
        <v>-9.0539991879821313E-2</v>
      </c>
    </row>
    <row r="52" spans="1:7" x14ac:dyDescent="0.35">
      <c r="A52" s="3">
        <v>44099</v>
      </c>
      <c r="B52" s="4">
        <v>5.5609999999999999</v>
      </c>
      <c r="C52" s="4">
        <v>4.7750000000000004</v>
      </c>
      <c r="D52" s="4">
        <v>5.1580000000000004</v>
      </c>
      <c r="E52" s="4">
        <v>4.9219999999999997</v>
      </c>
      <c r="F52" s="5">
        <v>4.5754168282280072E-2</v>
      </c>
      <c r="G52" s="5">
        <v>-8.133340970273073E-3</v>
      </c>
    </row>
    <row r="53" spans="1:7" x14ac:dyDescent="0.35">
      <c r="A53" s="3">
        <v>44100</v>
      </c>
      <c r="B53" s="4">
        <v>4.99</v>
      </c>
      <c r="C53" s="4">
        <v>4.5880000000000001</v>
      </c>
      <c r="D53" s="4">
        <v>4.9219999999999997</v>
      </c>
      <c r="E53" s="4">
        <v>4.8650000000000002</v>
      </c>
      <c r="F53" s="5">
        <v>1.1580658268996236E-2</v>
      </c>
      <c r="G53" s="5">
        <v>-6.2780523833874113E-3</v>
      </c>
    </row>
    <row r="54" spans="1:7" x14ac:dyDescent="0.35">
      <c r="A54" s="3">
        <v>44101</v>
      </c>
      <c r="B54" s="4">
        <v>5.2110000000000003</v>
      </c>
      <c r="C54" s="4">
        <v>4.7009999999999996</v>
      </c>
      <c r="D54" s="4">
        <v>4.8650000000000002</v>
      </c>
      <c r="E54" s="4">
        <v>4.8559999999999999</v>
      </c>
      <c r="F54" s="5">
        <v>1.8499486125386211E-3</v>
      </c>
      <c r="G54" s="5">
        <v>-9.8805860599044948E-3</v>
      </c>
    </row>
    <row r="55" spans="1:7" x14ac:dyDescent="0.35">
      <c r="A55" s="3">
        <v>44102</v>
      </c>
      <c r="B55" s="4">
        <v>4.9459999999999997</v>
      </c>
      <c r="C55" s="4">
        <v>4.16</v>
      </c>
      <c r="D55" s="4">
        <v>4.8559999999999999</v>
      </c>
      <c r="E55" s="4">
        <v>4.25</v>
      </c>
      <c r="F55" s="5">
        <v>0.12479406919275127</v>
      </c>
      <c r="G55" s="5">
        <v>1.0398904201492809E-2</v>
      </c>
    </row>
    <row r="56" spans="1:7" x14ac:dyDescent="0.35">
      <c r="A56" s="3">
        <v>44103</v>
      </c>
      <c r="B56" s="4">
        <v>4.452</v>
      </c>
      <c r="C56" s="4">
        <v>4.1219999999999999</v>
      </c>
      <c r="D56" s="4">
        <v>4.25</v>
      </c>
      <c r="E56" s="4">
        <v>4.3860000000000001</v>
      </c>
      <c r="F56" s="5">
        <v>-3.2000000000000028E-2</v>
      </c>
      <c r="G56" s="5">
        <v>-1.6694443659783786E-2</v>
      </c>
    </row>
    <row r="57" spans="1:7" x14ac:dyDescent="0.35">
      <c r="A57" s="3">
        <v>44104</v>
      </c>
      <c r="B57" s="4">
        <v>4.3890000000000002</v>
      </c>
      <c r="C57" s="4">
        <v>3.95</v>
      </c>
      <c r="D57" s="4">
        <v>4.3860000000000001</v>
      </c>
      <c r="E57" s="4">
        <v>4.157</v>
      </c>
      <c r="F57" s="5">
        <v>5.2211582307341575E-2</v>
      </c>
      <c r="G57" s="5">
        <v>2.7783951989335254E-4</v>
      </c>
    </row>
    <row r="58" spans="1:7" x14ac:dyDescent="0.35">
      <c r="A58" s="3">
        <v>44105</v>
      </c>
      <c r="B58" s="4">
        <v>4.5179999999999998</v>
      </c>
      <c r="C58" s="4">
        <v>3.94</v>
      </c>
      <c r="D58" s="4">
        <v>4.157</v>
      </c>
      <c r="E58" s="4">
        <v>4.242</v>
      </c>
      <c r="F58" s="5">
        <v>-2.0447438056290679E-2</v>
      </c>
      <c r="G58" s="5">
        <v>1.8370296259240804E-2</v>
      </c>
    </row>
    <row r="59" spans="1:7" x14ac:dyDescent="0.35">
      <c r="A59" s="3">
        <v>44106</v>
      </c>
      <c r="B59" s="4">
        <v>4.242</v>
      </c>
      <c r="C59" s="4">
        <v>3.5779999999999998</v>
      </c>
      <c r="D59" s="4">
        <v>4.242</v>
      </c>
      <c r="E59" s="4">
        <v>3.8929999999999998</v>
      </c>
      <c r="F59" s="5">
        <v>8.2272512965582356E-2</v>
      </c>
      <c r="G59" s="5">
        <v>2.0894085671413598E-2</v>
      </c>
    </row>
    <row r="60" spans="1:7" x14ac:dyDescent="0.35">
      <c r="A60" s="3">
        <v>44107</v>
      </c>
      <c r="B60" s="4">
        <v>4.1310000000000002</v>
      </c>
      <c r="C60" s="4">
        <v>3.831</v>
      </c>
      <c r="D60" s="4">
        <v>3.8929999999999998</v>
      </c>
      <c r="E60" s="4">
        <v>3.9049999999999998</v>
      </c>
      <c r="F60" s="5">
        <v>-3.0824556896995592E-3</v>
      </c>
      <c r="G60" s="5">
        <v>-1.4168811265651282E-3</v>
      </c>
    </row>
    <row r="61" spans="1:7" x14ac:dyDescent="0.35">
      <c r="A61" s="3">
        <v>44108</v>
      </c>
      <c r="B61" s="4">
        <v>3.9430000000000001</v>
      </c>
      <c r="C61" s="4">
        <v>3.6070000000000002</v>
      </c>
      <c r="D61" s="4">
        <v>3.9049999999999998</v>
      </c>
      <c r="E61" s="4">
        <v>3.722</v>
      </c>
      <c r="F61" s="5">
        <v>4.6862996158770764E-2</v>
      </c>
      <c r="G61" s="5">
        <v>-1.816239316239332E-2</v>
      </c>
    </row>
    <row r="62" spans="1:7" x14ac:dyDescent="0.35">
      <c r="A62" s="3">
        <v>44109</v>
      </c>
      <c r="B62" s="4">
        <v>3.7959999999999998</v>
      </c>
      <c r="C62" s="4">
        <v>3.1869999999999998</v>
      </c>
      <c r="D62" s="4">
        <v>3.722</v>
      </c>
      <c r="E62" s="4">
        <v>3.323</v>
      </c>
      <c r="F62" s="5">
        <v>0.10720042987641054</v>
      </c>
      <c r="G62" s="5">
        <v>-3.2613936076684169E-3</v>
      </c>
    </row>
    <row r="63" spans="1:7" x14ac:dyDescent="0.35">
      <c r="A63" s="3">
        <v>44110</v>
      </c>
      <c r="B63" s="4">
        <v>3.3530000000000002</v>
      </c>
      <c r="C63" s="4">
        <v>2.6280000000000001</v>
      </c>
      <c r="D63" s="4">
        <v>3.323</v>
      </c>
      <c r="E63" s="4">
        <v>2.7149999999999999</v>
      </c>
      <c r="F63" s="5">
        <v>0.18296719831477581</v>
      </c>
      <c r="G63" s="5">
        <v>3.6493668023518722E-2</v>
      </c>
    </row>
    <row r="64" spans="1:7" x14ac:dyDescent="0.35">
      <c r="A64" s="3">
        <v>44111</v>
      </c>
      <c r="B64" s="4">
        <v>3.0089999999999999</v>
      </c>
      <c r="C64" s="4">
        <v>2.4790000000000001</v>
      </c>
      <c r="D64" s="4">
        <v>2.7149999999999999</v>
      </c>
      <c r="E64" s="4">
        <v>2.9649999999999999</v>
      </c>
      <c r="F64" s="5">
        <v>-9.2081031307550631E-2</v>
      </c>
      <c r="G64" s="5">
        <v>-3.1098723778788528E-3</v>
      </c>
    </row>
    <row r="65" spans="1:7" x14ac:dyDescent="0.35">
      <c r="A65" s="3">
        <v>44112</v>
      </c>
      <c r="B65" s="4">
        <v>3.468</v>
      </c>
      <c r="C65" s="4">
        <v>2.6539999999999999</v>
      </c>
      <c r="D65" s="4">
        <v>2.9649999999999999</v>
      </c>
      <c r="E65" s="4">
        <v>3.3540000000000001</v>
      </c>
      <c r="F65" s="5">
        <v>-0.1311973018549748</v>
      </c>
      <c r="G65" s="5">
        <v>-2.7170892925038714E-2</v>
      </c>
    </row>
    <row r="66" spans="1:7" x14ac:dyDescent="0.35">
      <c r="A66" s="3">
        <v>44113</v>
      </c>
      <c r="B66" s="4">
        <v>3.6</v>
      </c>
      <c r="C66" s="4">
        <v>3.1749999999999998</v>
      </c>
      <c r="D66" s="4">
        <v>3.3540000000000001</v>
      </c>
      <c r="E66" s="4">
        <v>3.387</v>
      </c>
      <c r="F66" s="5">
        <v>-9.8389982110911323E-3</v>
      </c>
      <c r="G66" s="5">
        <v>-4.0461275626423765E-2</v>
      </c>
    </row>
    <row r="67" spans="1:7" x14ac:dyDescent="0.35">
      <c r="A67" s="3">
        <v>44114</v>
      </c>
      <c r="B67" s="4">
        <v>3.657</v>
      </c>
      <c r="C67" s="4">
        <v>3.2730000000000001</v>
      </c>
      <c r="D67" s="4">
        <v>3.387</v>
      </c>
      <c r="E67" s="4">
        <v>3.2959999999999998</v>
      </c>
      <c r="F67" s="5">
        <v>2.6867434307646931E-2</v>
      </c>
      <c r="G67" s="5">
        <v>-1.4969486330423276E-2</v>
      </c>
    </row>
    <row r="68" spans="1:7" x14ac:dyDescent="0.35">
      <c r="A68" s="3">
        <v>44115</v>
      </c>
      <c r="B68" s="4">
        <v>3.4510000000000001</v>
      </c>
      <c r="C68" s="4">
        <v>3.1829999999999998</v>
      </c>
      <c r="D68" s="4">
        <v>3.2959999999999998</v>
      </c>
      <c r="E68" s="4">
        <v>3.363</v>
      </c>
      <c r="F68" s="5">
        <v>-2.0327669902912682E-2</v>
      </c>
      <c r="G68" s="5">
        <v>-9.4100517687663032E-3</v>
      </c>
    </row>
    <row r="69" spans="1:7" x14ac:dyDescent="0.35">
      <c r="A69" s="3">
        <v>44116</v>
      </c>
      <c r="B69" s="4">
        <v>3.617</v>
      </c>
      <c r="C69" s="4">
        <v>3.286</v>
      </c>
      <c r="D69" s="4">
        <v>3.363</v>
      </c>
      <c r="E69" s="4">
        <v>3.4569999999999999</v>
      </c>
      <c r="F69" s="5">
        <v>-2.7951234017246529E-2</v>
      </c>
      <c r="G69" s="5">
        <v>-3.3496273739882954E-2</v>
      </c>
    </row>
    <row r="70" spans="1:7" x14ac:dyDescent="0.35">
      <c r="A70" s="3">
        <v>44117</v>
      </c>
      <c r="B70" s="4">
        <v>3.4990000000000001</v>
      </c>
      <c r="C70" s="4">
        <v>3.294</v>
      </c>
      <c r="D70" s="4">
        <v>3.4569999999999999</v>
      </c>
      <c r="E70" s="4">
        <v>3.351</v>
      </c>
      <c r="F70" s="5">
        <v>3.0662424067110172E-2</v>
      </c>
      <c r="G70" s="5">
        <v>1.421519216355227E-2</v>
      </c>
    </row>
    <row r="71" spans="1:7" x14ac:dyDescent="0.35">
      <c r="A71" s="3">
        <v>44118</v>
      </c>
      <c r="B71" s="4">
        <v>3.4369999999999998</v>
      </c>
      <c r="C71" s="4">
        <v>2.9729999999999999</v>
      </c>
      <c r="D71" s="4">
        <v>3.351</v>
      </c>
      <c r="E71" s="4">
        <v>3.1110000000000002</v>
      </c>
      <c r="F71" s="5">
        <v>7.1620411817367891E-2</v>
      </c>
      <c r="G71" s="5">
        <v>6.0302561547941336E-3</v>
      </c>
    </row>
    <row r="72" spans="1:7" x14ac:dyDescent="0.35">
      <c r="A72" s="3">
        <v>44119</v>
      </c>
      <c r="B72" s="4">
        <v>3.1819999999999999</v>
      </c>
      <c r="C72" s="4">
        <v>2.9209999999999998</v>
      </c>
      <c r="D72" s="4">
        <v>3.1110000000000002</v>
      </c>
      <c r="E72" s="4">
        <v>3.0840000000000001</v>
      </c>
      <c r="F72" s="5">
        <v>8.6788813886210514E-3</v>
      </c>
      <c r="G72" s="5">
        <v>3.7192371607185359E-3</v>
      </c>
    </row>
    <row r="73" spans="1:7" x14ac:dyDescent="0.35">
      <c r="A73" s="3">
        <v>44120</v>
      </c>
      <c r="B73" s="4">
        <v>3.38</v>
      </c>
      <c r="C73" s="4">
        <v>2.8980000000000001</v>
      </c>
      <c r="D73" s="4">
        <v>3.0840000000000001</v>
      </c>
      <c r="E73" s="4">
        <v>3.0430000000000001</v>
      </c>
      <c r="F73" s="5">
        <v>1.329442282749671E-2</v>
      </c>
      <c r="G73" s="5">
        <v>3.2088959491660018E-2</v>
      </c>
    </row>
    <row r="74" spans="1:7" x14ac:dyDescent="0.35">
      <c r="A74" s="3">
        <v>44121</v>
      </c>
      <c r="B74" s="4">
        <v>3.1190000000000002</v>
      </c>
      <c r="C74" s="4">
        <v>2.9809999999999999</v>
      </c>
      <c r="D74" s="4">
        <v>3.0430000000000001</v>
      </c>
      <c r="E74" s="4">
        <v>3.0619999999999998</v>
      </c>
      <c r="F74" s="5">
        <v>-6.2438383174496792E-3</v>
      </c>
      <c r="G74" s="5">
        <v>-8.3976147491657827E-3</v>
      </c>
    </row>
    <row r="75" spans="1:7" x14ac:dyDescent="0.35">
      <c r="A75" s="3">
        <v>44122</v>
      </c>
      <c r="B75" s="4">
        <v>3.29</v>
      </c>
      <c r="C75" s="4">
        <v>3.0459999999999998</v>
      </c>
      <c r="D75" s="4">
        <v>3.0619999999999998</v>
      </c>
      <c r="E75" s="4">
        <v>3.2850000000000001</v>
      </c>
      <c r="F75" s="5">
        <v>-7.2828216851730909E-2</v>
      </c>
      <c r="G75" s="5">
        <v>-2.6556354265563575E-2</v>
      </c>
    </row>
    <row r="76" spans="1:7" x14ac:dyDescent="0.35">
      <c r="A76" s="3">
        <v>44123</v>
      </c>
      <c r="B76" s="4">
        <v>3.2890000000000001</v>
      </c>
      <c r="C76" s="4">
        <v>3.11</v>
      </c>
      <c r="D76" s="4">
        <v>3.2850000000000001</v>
      </c>
      <c r="E76" s="4">
        <v>3.173</v>
      </c>
      <c r="F76" s="5">
        <v>3.4094368340943704E-2</v>
      </c>
      <c r="G76" s="5">
        <v>-2.5631540006343378E-3</v>
      </c>
    </row>
    <row r="77" spans="1:7" x14ac:dyDescent="0.35">
      <c r="A77" s="3">
        <v>44124</v>
      </c>
      <c r="B77" s="4">
        <v>3.1920000000000002</v>
      </c>
      <c r="C77" s="4">
        <v>2.823</v>
      </c>
      <c r="D77" s="4">
        <v>3.173</v>
      </c>
      <c r="E77" s="4">
        <v>2.8610000000000002</v>
      </c>
      <c r="F77" s="5">
        <v>9.8329656476520588E-2</v>
      </c>
      <c r="G77" s="5">
        <v>2.8122611422998878E-2</v>
      </c>
    </row>
    <row r="78" spans="1:7" x14ac:dyDescent="0.35">
      <c r="A78" s="3">
        <v>44125</v>
      </c>
      <c r="B78" s="4">
        <v>3.0880000000000001</v>
      </c>
      <c r="C78" s="4">
        <v>2.843</v>
      </c>
      <c r="D78" s="4">
        <v>2.8610000000000002</v>
      </c>
      <c r="E78" s="4">
        <v>2.9430000000000001</v>
      </c>
      <c r="F78" s="5">
        <v>-2.8661307235232414E-2</v>
      </c>
      <c r="G78" s="5">
        <v>-6.1615230243531993E-2</v>
      </c>
    </row>
    <row r="79" spans="1:7" x14ac:dyDescent="0.35">
      <c r="A79" s="3">
        <v>44126</v>
      </c>
      <c r="B79" s="4">
        <v>3.153</v>
      </c>
      <c r="C79" s="4">
        <v>2.9260000000000002</v>
      </c>
      <c r="D79" s="4">
        <v>2.9430000000000001</v>
      </c>
      <c r="E79" s="4">
        <v>3.0459999999999998</v>
      </c>
      <c r="F79" s="5">
        <v>-3.4998301053346781E-2</v>
      </c>
      <c r="G79" s="5">
        <v>-5.8856588157155221E-2</v>
      </c>
    </row>
    <row r="80" spans="1:7" x14ac:dyDescent="0.35">
      <c r="A80" s="3">
        <v>44127</v>
      </c>
      <c r="B80" s="4">
        <v>3.125</v>
      </c>
      <c r="C80" s="4">
        <v>2.9689999999999999</v>
      </c>
      <c r="D80" s="4">
        <v>3.0459999999999998</v>
      </c>
      <c r="E80" s="4">
        <v>3.0169999999999999</v>
      </c>
      <c r="F80" s="5">
        <v>9.5206828627708573E-3</v>
      </c>
      <c r="G80" s="5">
        <v>1.189384800965021E-2</v>
      </c>
    </row>
    <row r="81" spans="1:7" x14ac:dyDescent="0.35">
      <c r="A81" s="3">
        <v>44128</v>
      </c>
      <c r="B81" s="4">
        <v>3.085</v>
      </c>
      <c r="C81" s="4">
        <v>2.931</v>
      </c>
      <c r="D81" s="4">
        <v>3.0169999999999999</v>
      </c>
      <c r="E81" s="4">
        <v>2.9449999999999998</v>
      </c>
      <c r="F81" s="5">
        <v>2.3864766324163122E-2</v>
      </c>
      <c r="G81" s="5">
        <v>-7.275923529555417E-3</v>
      </c>
    </row>
    <row r="82" spans="1:7" x14ac:dyDescent="0.35">
      <c r="A82" s="3">
        <v>44129</v>
      </c>
      <c r="B82" s="4">
        <v>2.9689999999999999</v>
      </c>
      <c r="C82" s="4">
        <v>2.7170000000000001</v>
      </c>
      <c r="D82" s="4">
        <v>2.9449999999999998</v>
      </c>
      <c r="E82" s="4">
        <v>2.7789999999999999</v>
      </c>
      <c r="F82" s="5">
        <v>5.636672325976233E-2</v>
      </c>
      <c r="G82" s="5">
        <v>1.5004241910071547E-2</v>
      </c>
    </row>
    <row r="83" spans="1:7" x14ac:dyDescent="0.35">
      <c r="A83" s="3">
        <v>44130</v>
      </c>
      <c r="B83" s="4">
        <v>2.875</v>
      </c>
      <c r="C83" s="4">
        <v>2.5339999999999998</v>
      </c>
      <c r="D83" s="4">
        <v>2.7789999999999999</v>
      </c>
      <c r="E83" s="4">
        <v>2.7130000000000001</v>
      </c>
      <c r="F83" s="5">
        <v>2.3749550197912805E-2</v>
      </c>
      <c r="G83" s="5">
        <v>3.2606555763362577E-2</v>
      </c>
    </row>
    <row r="84" spans="1:7" x14ac:dyDescent="0.35">
      <c r="A84" s="3">
        <v>44131</v>
      </c>
      <c r="B84" s="4">
        <v>2.9129999999999998</v>
      </c>
      <c r="C84" s="4">
        <v>2.706</v>
      </c>
      <c r="D84" s="4">
        <v>2.7130000000000001</v>
      </c>
      <c r="E84" s="4">
        <v>2.8210000000000002</v>
      </c>
      <c r="F84" s="5">
        <v>-3.980833026170294E-2</v>
      </c>
      <c r="G84" s="5">
        <v>-2.7040777390552329E-2</v>
      </c>
    </row>
    <row r="85" spans="1:7" x14ac:dyDescent="0.35">
      <c r="A85" s="3">
        <v>44132</v>
      </c>
      <c r="B85" s="4">
        <v>2.8540000000000001</v>
      </c>
      <c r="C85" s="4">
        <v>2.597</v>
      </c>
      <c r="D85" s="4">
        <v>2.8210000000000002</v>
      </c>
      <c r="E85" s="4">
        <v>2.665</v>
      </c>
      <c r="F85" s="5">
        <v>5.5299539170507006E-2</v>
      </c>
      <c r="G85" s="5">
        <v>3.7078317729231758E-2</v>
      </c>
    </row>
    <row r="86" spans="1:7" x14ac:dyDescent="0.35">
      <c r="A86" s="3">
        <v>44133</v>
      </c>
      <c r="B86" s="4">
        <v>2.7389999999999999</v>
      </c>
      <c r="C86" s="4">
        <v>2.4929999999999999</v>
      </c>
      <c r="D86" s="4">
        <v>2.665</v>
      </c>
      <c r="E86" s="4">
        <v>2.5409999999999999</v>
      </c>
      <c r="F86" s="5">
        <v>4.6529080675422163E-2</v>
      </c>
      <c r="G86" s="5">
        <v>3.163824369164181E-3</v>
      </c>
    </row>
    <row r="87" spans="1:7" x14ac:dyDescent="0.35">
      <c r="A87" s="3">
        <v>44134</v>
      </c>
      <c r="B87" s="4">
        <v>2.5640000000000001</v>
      </c>
      <c r="C87" s="4">
        <v>2.2440000000000002</v>
      </c>
      <c r="D87" s="4">
        <v>2.5409999999999999</v>
      </c>
      <c r="E87" s="4">
        <v>2.4169999999999998</v>
      </c>
      <c r="F87" s="5">
        <v>4.879968516332156E-2</v>
      </c>
      <c r="G87" s="5">
        <v>1.2334210662125256E-2</v>
      </c>
    </row>
    <row r="88" spans="1:7" x14ac:dyDescent="0.35">
      <c r="A88" s="3">
        <v>44135</v>
      </c>
      <c r="B88" s="4">
        <v>2.4169999999999998</v>
      </c>
      <c r="C88" s="4">
        <v>2.2440000000000002</v>
      </c>
      <c r="D88" s="4">
        <v>2.4169999999999998</v>
      </c>
      <c r="E88" s="4">
        <v>2.2690000000000001</v>
      </c>
      <c r="F88" s="5">
        <v>6.1232933388498001E-2</v>
      </c>
      <c r="G88" s="5">
        <v>-1.0476538823283477E-2</v>
      </c>
    </row>
    <row r="89" spans="1:7" x14ac:dyDescent="0.35">
      <c r="A89" s="3">
        <v>44136</v>
      </c>
      <c r="B89" s="4">
        <v>2.4489999999999998</v>
      </c>
      <c r="C89" s="4">
        <v>2.2189999999999999</v>
      </c>
      <c r="D89" s="4">
        <v>2.2690000000000001</v>
      </c>
      <c r="E89" s="4">
        <v>2.379</v>
      </c>
      <c r="F89" s="5">
        <v>-4.8479506390480376E-2</v>
      </c>
      <c r="G89" s="5">
        <v>-2.5803449078263707E-2</v>
      </c>
    </row>
    <row r="90" spans="1:7" x14ac:dyDescent="0.35">
      <c r="A90" s="3">
        <v>44137</v>
      </c>
      <c r="B90" s="4">
        <v>2.4540000000000002</v>
      </c>
      <c r="C90" s="4">
        <v>2.2269999999999999</v>
      </c>
      <c r="D90" s="4">
        <v>2.379</v>
      </c>
      <c r="E90" s="4">
        <v>2.2559999999999998</v>
      </c>
      <c r="F90" s="5">
        <v>5.1702395964691172E-2</v>
      </c>
      <c r="G90" s="5">
        <v>3.3119092627599156E-2</v>
      </c>
    </row>
    <row r="91" spans="1:7" x14ac:dyDescent="0.35">
      <c r="A91" s="3">
        <v>44138</v>
      </c>
      <c r="B91" s="4">
        <v>2.286</v>
      </c>
      <c r="C91" s="4">
        <v>2.0569999999999999</v>
      </c>
      <c r="D91" s="4">
        <v>2.2559999999999998</v>
      </c>
      <c r="E91" s="4">
        <v>2.137</v>
      </c>
      <c r="F91" s="5">
        <v>5.2748226950354526E-2</v>
      </c>
      <c r="G91" s="5">
        <v>-1.191314095044449E-2</v>
      </c>
    </row>
    <row r="92" spans="1:7" x14ac:dyDescent="0.35">
      <c r="A92" s="3">
        <v>44139</v>
      </c>
      <c r="B92" s="4">
        <v>2.1539999999999999</v>
      </c>
      <c r="C92" s="4">
        <v>2.137</v>
      </c>
      <c r="D92" s="4">
        <v>2.137</v>
      </c>
      <c r="E92" s="4">
        <v>2.153</v>
      </c>
      <c r="F92" s="5">
        <v>-7.4871314927469346E-3</v>
      </c>
      <c r="G92" s="5">
        <v>-1.5456746870001759E-4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52DDA-E6D1-4557-AE2E-AE5D08929900}">
  <sheetPr codeName="Sheet10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5050</v>
      </c>
      <c r="C2" s="4">
        <v>4035</v>
      </c>
      <c r="D2" s="4">
        <v>4225</v>
      </c>
      <c r="E2" s="4">
        <v>4775</v>
      </c>
    </row>
    <row r="3" spans="1:7" x14ac:dyDescent="0.35">
      <c r="A3" s="3">
        <v>44050</v>
      </c>
      <c r="B3" s="4">
        <v>5610</v>
      </c>
      <c r="C3" s="4">
        <v>3530</v>
      </c>
      <c r="D3" s="4">
        <v>4775</v>
      </c>
      <c r="E3" s="4">
        <v>4345</v>
      </c>
      <c r="F3" s="5">
        <v>9.0052356020942415E-2</v>
      </c>
      <c r="G3" s="5">
        <v>3.9160591332523365E-2</v>
      </c>
    </row>
    <row r="4" spans="1:7" x14ac:dyDescent="0.35">
      <c r="A4" s="3">
        <v>44051</v>
      </c>
      <c r="B4" s="4">
        <v>5015</v>
      </c>
      <c r="C4" s="4">
        <v>3990</v>
      </c>
      <c r="D4" s="4">
        <v>4345</v>
      </c>
      <c r="E4" s="4">
        <v>4590</v>
      </c>
      <c r="F4" s="5">
        <v>-5.6386651323360182E-2</v>
      </c>
      <c r="G4" s="5">
        <v>-4.739573728166091E-2</v>
      </c>
    </row>
    <row r="5" spans="1:7" x14ac:dyDescent="0.35">
      <c r="A5" s="3">
        <v>44052</v>
      </c>
      <c r="B5" s="4">
        <v>4700</v>
      </c>
      <c r="C5" s="4">
        <v>3800</v>
      </c>
      <c r="D5" s="4">
        <v>4590</v>
      </c>
      <c r="E5" s="4">
        <v>4015</v>
      </c>
      <c r="F5" s="5">
        <v>0.12527233115468406</v>
      </c>
      <c r="G5" s="5">
        <v>1.8311701378408318E-2</v>
      </c>
    </row>
    <row r="6" spans="1:7" x14ac:dyDescent="0.35">
      <c r="A6" s="3">
        <v>44053</v>
      </c>
      <c r="B6" s="4">
        <v>9224.06</v>
      </c>
      <c r="C6" s="4">
        <v>4045.12</v>
      </c>
      <c r="D6" s="4">
        <v>4218.7700000000004</v>
      </c>
      <c r="E6" s="4">
        <v>6234.24</v>
      </c>
      <c r="F6" s="5">
        <v>-0.55273723536737229</v>
      </c>
      <c r="G6" s="5">
        <v>-1.3913088039356314E-2</v>
      </c>
    </row>
    <row r="7" spans="1:7" x14ac:dyDescent="0.35">
      <c r="A7" s="3">
        <v>44054</v>
      </c>
      <c r="B7" s="4">
        <v>6516.79</v>
      </c>
      <c r="C7" s="4">
        <v>5515.7</v>
      </c>
      <c r="D7" s="4">
        <v>6234.24</v>
      </c>
      <c r="E7" s="4">
        <v>6060.09</v>
      </c>
      <c r="F7" s="5">
        <v>2.7934439482599216E-2</v>
      </c>
      <c r="G7" s="5">
        <v>4.2379520355816047E-2</v>
      </c>
    </row>
    <row r="8" spans="1:7" x14ac:dyDescent="0.35">
      <c r="A8" s="3">
        <v>44055</v>
      </c>
      <c r="B8" s="4">
        <v>6244.43</v>
      </c>
      <c r="C8" s="4">
        <v>5383.61</v>
      </c>
      <c r="D8" s="4">
        <v>6060.09</v>
      </c>
      <c r="E8" s="4">
        <v>5751.54</v>
      </c>
      <c r="F8" s="5">
        <v>5.0915085419523498E-2</v>
      </c>
      <c r="G8" s="5">
        <v>-2.1771256663323912E-2</v>
      </c>
    </row>
    <row r="9" spans="1:7" x14ac:dyDescent="0.35">
      <c r="A9" s="3">
        <v>44056</v>
      </c>
      <c r="B9" s="4">
        <v>5891.8</v>
      </c>
      <c r="C9" s="4">
        <v>3548.99</v>
      </c>
      <c r="D9" s="4">
        <v>5751.54</v>
      </c>
      <c r="E9" s="4">
        <v>5342.36</v>
      </c>
      <c r="F9" s="5">
        <v>7.1142685263425154E-2</v>
      </c>
      <c r="G9" s="5">
        <v>-9.7574834060797144E-2</v>
      </c>
    </row>
    <row r="10" spans="1:7" x14ac:dyDescent="0.35">
      <c r="A10" s="3">
        <v>44057</v>
      </c>
      <c r="B10" s="4">
        <v>5372.71</v>
      </c>
      <c r="C10" s="4">
        <v>4727.47</v>
      </c>
      <c r="D10" s="4">
        <v>5342.36</v>
      </c>
      <c r="E10" s="4">
        <v>5020.66</v>
      </c>
      <c r="F10" s="5">
        <v>6.0216833010130366E-2</v>
      </c>
      <c r="G10" s="5">
        <v>-3.1861072546297331E-2</v>
      </c>
    </row>
    <row r="11" spans="1:7" x14ac:dyDescent="0.35">
      <c r="A11" s="3">
        <v>44058</v>
      </c>
      <c r="B11" s="4">
        <v>5438.23</v>
      </c>
      <c r="C11" s="4">
        <v>4167.92</v>
      </c>
      <c r="D11" s="4">
        <v>5020.66</v>
      </c>
      <c r="E11" s="4">
        <v>5393.16</v>
      </c>
      <c r="F11" s="5">
        <v>-7.4193432735935039E-2</v>
      </c>
      <c r="G11" s="5">
        <v>1.3545871245809638E-2</v>
      </c>
    </row>
    <row r="12" spans="1:7" x14ac:dyDescent="0.35">
      <c r="A12" s="3">
        <v>44059</v>
      </c>
      <c r="B12" s="4">
        <v>6850.45</v>
      </c>
      <c r="C12" s="4">
        <v>5241.5200000000004</v>
      </c>
      <c r="D12" s="4">
        <v>5393.16</v>
      </c>
      <c r="E12" s="4">
        <v>6678.83</v>
      </c>
      <c r="F12" s="5">
        <v>-0.23838899643251832</v>
      </c>
      <c r="G12" s="5">
        <v>-2.9590586494672166E-3</v>
      </c>
    </row>
    <row r="13" spans="1:7" x14ac:dyDescent="0.35">
      <c r="A13" s="3">
        <v>44060</v>
      </c>
      <c r="B13" s="4">
        <v>9202.52</v>
      </c>
      <c r="C13" s="4">
        <v>6595.9</v>
      </c>
      <c r="D13" s="4">
        <v>6678.83</v>
      </c>
      <c r="E13" s="4">
        <v>8918.36</v>
      </c>
      <c r="F13" s="5">
        <v>-0.33531771283293632</v>
      </c>
      <c r="G13" s="5">
        <v>5.9698052322232353E-3</v>
      </c>
    </row>
    <row r="14" spans="1:7" x14ac:dyDescent="0.35">
      <c r="A14" s="3">
        <v>44061</v>
      </c>
      <c r="B14" s="4">
        <v>11853.86</v>
      </c>
      <c r="C14" s="4">
        <v>8423.49</v>
      </c>
      <c r="D14" s="4">
        <v>8918.36</v>
      </c>
      <c r="E14" s="4">
        <v>9666.98</v>
      </c>
      <c r="F14" s="5">
        <v>-8.3941442148556256E-2</v>
      </c>
      <c r="G14" s="5">
        <v>2.1031396373417444E-2</v>
      </c>
    </row>
    <row r="15" spans="1:7" x14ac:dyDescent="0.35">
      <c r="A15" s="3">
        <v>44062</v>
      </c>
      <c r="B15" s="4">
        <v>12936.41</v>
      </c>
      <c r="C15" s="4">
        <v>9443.58</v>
      </c>
      <c r="D15" s="4">
        <v>9666.98</v>
      </c>
      <c r="E15" s="4">
        <v>12583.6</v>
      </c>
      <c r="F15" s="5">
        <v>-0.30170953079451923</v>
      </c>
      <c r="G15" s="5">
        <v>3.3965750017764473E-2</v>
      </c>
    </row>
    <row r="16" spans="1:7" x14ac:dyDescent="0.35">
      <c r="A16" s="3">
        <v>44063</v>
      </c>
      <c r="B16" s="4">
        <v>16798.62</v>
      </c>
      <c r="C16" s="4">
        <v>11578.71</v>
      </c>
      <c r="D16" s="4">
        <v>12583.6</v>
      </c>
      <c r="E16" s="4">
        <v>15280.1</v>
      </c>
      <c r="F16" s="5">
        <v>-0.21428684955020816</v>
      </c>
      <c r="G16" s="5">
        <v>-2.0080912100036707E-2</v>
      </c>
    </row>
    <row r="17" spans="1:7" x14ac:dyDescent="0.35">
      <c r="A17" s="3">
        <v>44064</v>
      </c>
      <c r="B17" s="4">
        <v>15169.99</v>
      </c>
      <c r="C17" s="4">
        <v>11688.73</v>
      </c>
      <c r="D17" s="4">
        <v>15280.1</v>
      </c>
      <c r="E17" s="4">
        <v>12288.16</v>
      </c>
      <c r="F17" s="5">
        <v>0.19580631016812722</v>
      </c>
      <c r="G17" s="5">
        <v>6.7445437938659758E-2</v>
      </c>
    </row>
    <row r="18" spans="1:7" x14ac:dyDescent="0.35">
      <c r="A18" s="3">
        <v>44065</v>
      </c>
      <c r="B18" s="4">
        <v>14518</v>
      </c>
      <c r="C18" s="4">
        <v>11340.15</v>
      </c>
      <c r="D18" s="4">
        <v>12288.16</v>
      </c>
      <c r="E18" s="4">
        <v>14062.86</v>
      </c>
      <c r="F18" s="5">
        <v>-0.14442357521386451</v>
      </c>
      <c r="G18" s="5">
        <v>-1.9279344296097678E-2</v>
      </c>
    </row>
    <row r="19" spans="1:7" x14ac:dyDescent="0.35">
      <c r="A19" s="3">
        <v>44066</v>
      </c>
      <c r="B19" s="4">
        <v>14063.38</v>
      </c>
      <c r="C19" s="4">
        <v>11849.6</v>
      </c>
      <c r="D19" s="4">
        <v>14062.86</v>
      </c>
      <c r="E19" s="4">
        <v>12513.73</v>
      </c>
      <c r="F19" s="5">
        <v>0.11015753552264629</v>
      </c>
      <c r="G19" s="5">
        <v>1.1986041571840245E-2</v>
      </c>
    </row>
    <row r="20" spans="1:7" x14ac:dyDescent="0.35">
      <c r="A20" s="3">
        <v>44067</v>
      </c>
      <c r="B20" s="4">
        <v>14507.4</v>
      </c>
      <c r="C20" s="4">
        <v>12320.71</v>
      </c>
      <c r="D20" s="4">
        <v>12513.73</v>
      </c>
      <c r="E20" s="4">
        <v>14472.13</v>
      </c>
      <c r="F20" s="5">
        <v>-0.15650010028984163</v>
      </c>
      <c r="G20" s="5">
        <v>-4.4302825552825498E-2</v>
      </c>
    </row>
    <row r="21" spans="1:7" x14ac:dyDescent="0.35">
      <c r="A21" s="3">
        <v>44068</v>
      </c>
      <c r="B21" s="4">
        <v>14355.82</v>
      </c>
      <c r="C21" s="4">
        <v>12826.19</v>
      </c>
      <c r="D21" s="4">
        <v>14472.13</v>
      </c>
      <c r="E21" s="4">
        <v>13517.36</v>
      </c>
      <c r="F21" s="5">
        <v>6.5973011574660956E-2</v>
      </c>
      <c r="G21" s="5">
        <v>6.051025659877951E-2</v>
      </c>
    </row>
    <row r="22" spans="1:7" x14ac:dyDescent="0.35">
      <c r="A22" s="3">
        <v>44069</v>
      </c>
      <c r="B22" s="4">
        <v>16317.38</v>
      </c>
      <c r="C22" s="4">
        <v>13347.46</v>
      </c>
      <c r="D22" s="4">
        <v>13517.36</v>
      </c>
      <c r="E22" s="4">
        <v>15686.71</v>
      </c>
      <c r="F22" s="5">
        <v>-0.16048621920256601</v>
      </c>
      <c r="G22" s="5">
        <v>-6.9911827620390277E-3</v>
      </c>
    </row>
    <row r="23" spans="1:7" x14ac:dyDescent="0.35">
      <c r="A23" s="3">
        <v>44070</v>
      </c>
      <c r="B23" s="4">
        <v>15727.46</v>
      </c>
      <c r="C23" s="4">
        <v>14163.78</v>
      </c>
      <c r="D23" s="4">
        <v>15686.71</v>
      </c>
      <c r="E23" s="4">
        <v>14186.44</v>
      </c>
      <c r="F23" s="5">
        <v>9.5639557306790191E-2</v>
      </c>
      <c r="G23" s="5">
        <v>7.8493342313868952E-3</v>
      </c>
    </row>
    <row r="24" spans="1:7" x14ac:dyDescent="0.35">
      <c r="A24" s="3">
        <v>44071</v>
      </c>
      <c r="B24" s="4">
        <v>19506.04</v>
      </c>
      <c r="C24" s="4">
        <v>14292.13</v>
      </c>
      <c r="D24" s="4">
        <v>14186.44</v>
      </c>
      <c r="E24" s="4">
        <v>18860.07</v>
      </c>
      <c r="F24" s="5">
        <v>-0.32944346855165918</v>
      </c>
      <c r="G24" s="5">
        <v>-3.2768479594767586E-2</v>
      </c>
    </row>
    <row r="25" spans="1:7" x14ac:dyDescent="0.35">
      <c r="A25" s="3">
        <v>44072</v>
      </c>
      <c r="B25" s="4">
        <v>27530.19</v>
      </c>
      <c r="C25" s="4">
        <v>17829.189999999999</v>
      </c>
      <c r="D25" s="4">
        <v>18860.07</v>
      </c>
      <c r="E25" s="4">
        <v>27507.23</v>
      </c>
      <c r="F25" s="5">
        <v>-0.4584903449456974</v>
      </c>
      <c r="G25" s="5">
        <v>-8.6211255498811479E-3</v>
      </c>
    </row>
    <row r="26" spans="1:7" x14ac:dyDescent="0.35">
      <c r="A26" s="3">
        <v>44073</v>
      </c>
      <c r="B26" s="4">
        <v>39297.279999999999</v>
      </c>
      <c r="C26" s="4">
        <v>27088.639999999999</v>
      </c>
      <c r="D26" s="4">
        <v>27507.23</v>
      </c>
      <c r="E26" s="4">
        <v>31669.81</v>
      </c>
      <c r="F26" s="5">
        <v>-0.15132676027357173</v>
      </c>
      <c r="G26" s="5">
        <v>-7.5773906504574606E-2</v>
      </c>
    </row>
    <row r="27" spans="1:7" x14ac:dyDescent="0.35">
      <c r="A27" s="3">
        <v>44074</v>
      </c>
      <c r="B27" s="4">
        <v>39473.339999999997</v>
      </c>
      <c r="C27" s="4">
        <v>29669.13</v>
      </c>
      <c r="D27" s="4">
        <v>31669.81</v>
      </c>
      <c r="E27" s="4">
        <v>34985.089999999997</v>
      </c>
      <c r="F27" s="5">
        <v>-0.10468266150002137</v>
      </c>
      <c r="G27" s="5">
        <v>-1.1556922503378475E-2</v>
      </c>
    </row>
    <row r="28" spans="1:7" x14ac:dyDescent="0.35">
      <c r="A28" s="3">
        <v>44075</v>
      </c>
      <c r="B28" s="4">
        <v>36567.230000000003</v>
      </c>
      <c r="C28" s="4">
        <v>31438.75</v>
      </c>
      <c r="D28" s="4">
        <v>34985.089999999997</v>
      </c>
      <c r="E28" s="4">
        <v>31856.19</v>
      </c>
      <c r="F28" s="5">
        <v>8.9435242270349935E-2</v>
      </c>
      <c r="G28" s="5">
        <v>-9.6397475468742888E-2</v>
      </c>
    </row>
    <row r="29" spans="1:7" x14ac:dyDescent="0.35">
      <c r="A29" s="3">
        <v>44076</v>
      </c>
      <c r="B29" s="4">
        <v>32882.94</v>
      </c>
      <c r="C29" s="4">
        <v>25793.45</v>
      </c>
      <c r="D29" s="4">
        <v>31856.19</v>
      </c>
      <c r="E29" s="4">
        <v>31971.11</v>
      </c>
      <c r="F29" s="5">
        <v>-3.6074621604154089E-3</v>
      </c>
      <c r="G29" s="5">
        <v>7.5967982520641186E-2</v>
      </c>
    </row>
    <row r="30" spans="1:7" x14ac:dyDescent="0.35">
      <c r="A30" s="3">
        <v>44077</v>
      </c>
      <c r="B30" s="4">
        <v>31704.12</v>
      </c>
      <c r="C30" s="4">
        <v>26189.47</v>
      </c>
      <c r="D30" s="4">
        <v>31971.11</v>
      </c>
      <c r="E30" s="4">
        <v>29455.52</v>
      </c>
      <c r="F30" s="5">
        <v>7.8683223697894711E-2</v>
      </c>
      <c r="G30" s="5">
        <v>0.1304367596571403</v>
      </c>
    </row>
    <row r="31" spans="1:7" x14ac:dyDescent="0.35">
      <c r="A31" s="3">
        <v>44078</v>
      </c>
      <c r="B31" s="4">
        <v>32019.56</v>
      </c>
      <c r="C31" s="4">
        <v>24954.11</v>
      </c>
      <c r="D31" s="4">
        <v>29455.52</v>
      </c>
      <c r="E31" s="4">
        <v>27361.599999999999</v>
      </c>
      <c r="F31" s="5">
        <v>7.1087524511534772E-2</v>
      </c>
      <c r="G31" s="5">
        <v>-9.0205511687497797E-3</v>
      </c>
    </row>
    <row r="32" spans="1:7" x14ac:dyDescent="0.35">
      <c r="A32" s="3">
        <v>44079</v>
      </c>
      <c r="B32" s="4">
        <v>27911.08</v>
      </c>
      <c r="C32" s="4">
        <v>18475.2</v>
      </c>
      <c r="D32" s="4">
        <v>27361.599999999999</v>
      </c>
      <c r="E32" s="4">
        <v>22156.01</v>
      </c>
      <c r="F32" s="5">
        <v>0.19025166656920645</v>
      </c>
      <c r="G32" s="5">
        <v>0.13130004405172191</v>
      </c>
    </row>
    <row r="33" spans="1:7" x14ac:dyDescent="0.35">
      <c r="A33" s="3">
        <v>44080</v>
      </c>
      <c r="B33" s="4">
        <v>25404.68</v>
      </c>
      <c r="C33" s="4">
        <v>19792.25</v>
      </c>
      <c r="D33" s="4">
        <v>22156.01</v>
      </c>
      <c r="E33" s="4">
        <v>23855.360000000001</v>
      </c>
      <c r="F33" s="5">
        <v>-7.6699279337751003E-2</v>
      </c>
      <c r="G33" s="5">
        <v>-5.2052261066698469E-2</v>
      </c>
    </row>
    <row r="34" spans="1:7" x14ac:dyDescent="0.35">
      <c r="A34" s="3">
        <v>44081</v>
      </c>
      <c r="B34" s="4">
        <v>24785.24</v>
      </c>
      <c r="C34" s="4">
        <v>21412.04</v>
      </c>
      <c r="D34" s="4">
        <v>23855.360000000001</v>
      </c>
      <c r="E34" s="4">
        <v>22948.15</v>
      </c>
      <c r="F34" s="5">
        <v>3.8029608440199536E-2</v>
      </c>
      <c r="G34" s="5">
        <v>-2.8637046698234414E-3</v>
      </c>
    </row>
    <row r="35" spans="1:7" x14ac:dyDescent="0.35">
      <c r="A35" s="3">
        <v>44082</v>
      </c>
      <c r="B35" s="4">
        <v>23062.69</v>
      </c>
      <c r="C35" s="4">
        <v>21462.38</v>
      </c>
      <c r="D35" s="4">
        <v>22948.15</v>
      </c>
      <c r="E35" s="4">
        <v>22475.23</v>
      </c>
      <c r="F35" s="5">
        <v>2.0608197174935783E-2</v>
      </c>
      <c r="G35" s="5">
        <v>4.5942889454339886E-2</v>
      </c>
    </row>
    <row r="36" spans="1:7" x14ac:dyDescent="0.35">
      <c r="A36" s="3">
        <v>44083</v>
      </c>
      <c r="B36" s="4">
        <v>29182.91</v>
      </c>
      <c r="C36" s="4">
        <v>21930.65</v>
      </c>
      <c r="D36" s="4">
        <v>22475.23</v>
      </c>
      <c r="E36" s="4">
        <v>27638.35</v>
      </c>
      <c r="F36" s="5">
        <v>-0.22972490159166337</v>
      </c>
      <c r="G36" s="5">
        <v>-4.0598607201066894E-2</v>
      </c>
    </row>
    <row r="37" spans="1:7" x14ac:dyDescent="0.35">
      <c r="A37" s="3">
        <v>44084</v>
      </c>
      <c r="B37" s="4">
        <v>35537.410000000003</v>
      </c>
      <c r="C37" s="4">
        <v>27850.57</v>
      </c>
      <c r="D37" s="4">
        <v>27638.35</v>
      </c>
      <c r="E37" s="4">
        <v>34047.629999999997</v>
      </c>
      <c r="F37" s="5">
        <v>-0.23189806916838385</v>
      </c>
      <c r="G37" s="5">
        <v>-4.8241492239783579E-2</v>
      </c>
    </row>
    <row r="38" spans="1:7" x14ac:dyDescent="0.35">
      <c r="A38" s="3">
        <v>44085</v>
      </c>
      <c r="B38" s="4">
        <v>38370.46</v>
      </c>
      <c r="C38" s="4">
        <v>31964.99</v>
      </c>
      <c r="D38" s="4">
        <v>34047.629999999997</v>
      </c>
      <c r="E38" s="4">
        <v>38183.29</v>
      </c>
      <c r="F38" s="5">
        <v>-0.12146689798966936</v>
      </c>
      <c r="G38" s="5">
        <v>-1.6028688635931543E-2</v>
      </c>
    </row>
    <row r="39" spans="1:7" x14ac:dyDescent="0.35">
      <c r="A39" s="3">
        <v>44086</v>
      </c>
      <c r="B39" s="4">
        <v>43871.15</v>
      </c>
      <c r="C39" s="4">
        <v>36682.93</v>
      </c>
      <c r="D39" s="4">
        <v>38183.29</v>
      </c>
      <c r="E39" s="4">
        <v>43265.17</v>
      </c>
      <c r="F39" s="5">
        <v>-0.13309172677367509</v>
      </c>
      <c r="G39" s="5">
        <v>-3.7567849407738274E-2</v>
      </c>
    </row>
    <row r="40" spans="1:7" x14ac:dyDescent="0.35">
      <c r="A40" s="3">
        <v>44087</v>
      </c>
      <c r="B40" s="4">
        <v>42910.29</v>
      </c>
      <c r="C40" s="4">
        <v>32887.9</v>
      </c>
      <c r="D40" s="4">
        <v>43265.17</v>
      </c>
      <c r="E40" s="4">
        <v>36907.19</v>
      </c>
      <c r="F40" s="5">
        <v>0.14695377367059914</v>
      </c>
      <c r="G40" s="5">
        <v>5.6076693124420318E-2</v>
      </c>
    </row>
    <row r="41" spans="1:7" x14ac:dyDescent="0.35">
      <c r="A41" s="3">
        <v>44088</v>
      </c>
      <c r="B41" s="4">
        <v>43268.51</v>
      </c>
      <c r="C41" s="4">
        <v>36220.83</v>
      </c>
      <c r="D41" s="4">
        <v>36907.19</v>
      </c>
      <c r="E41" s="4">
        <v>39830.1</v>
      </c>
      <c r="F41" s="5">
        <v>-7.9196221657622745E-2</v>
      </c>
      <c r="G41" s="5">
        <v>-2.9977066724909962E-2</v>
      </c>
    </row>
    <row r="42" spans="1:7" x14ac:dyDescent="0.35">
      <c r="A42" s="3">
        <v>44089</v>
      </c>
      <c r="B42" s="4">
        <v>41431.71</v>
      </c>
      <c r="C42" s="4">
        <v>35175.43</v>
      </c>
      <c r="D42" s="4">
        <v>39830.1</v>
      </c>
      <c r="E42" s="4">
        <v>35304.870000000003</v>
      </c>
      <c r="F42" s="5">
        <v>0.11361332258769108</v>
      </c>
      <c r="G42" s="5">
        <v>3.4724062980437842E-2</v>
      </c>
    </row>
    <row r="43" spans="1:7" x14ac:dyDescent="0.35">
      <c r="A43" s="3">
        <v>44090</v>
      </c>
      <c r="B43" s="4">
        <v>37133.61</v>
      </c>
      <c r="C43" s="4">
        <v>31348.26</v>
      </c>
      <c r="D43" s="4">
        <v>35304.870000000003</v>
      </c>
      <c r="E43" s="4">
        <v>34865.49</v>
      </c>
      <c r="F43" s="5">
        <v>1.2445308536754407E-2</v>
      </c>
      <c r="G43" s="5">
        <v>-2.5538224956060951E-3</v>
      </c>
    </row>
    <row r="44" spans="1:7" x14ac:dyDescent="0.35">
      <c r="A44" s="3">
        <v>44091</v>
      </c>
      <c r="B44" s="4">
        <v>36392.589999999997</v>
      </c>
      <c r="C44" s="4">
        <v>29967.79</v>
      </c>
      <c r="D44" s="4">
        <v>34865.49</v>
      </c>
      <c r="E44" s="4">
        <v>33273.230000000003</v>
      </c>
      <c r="F44" s="5">
        <v>4.566865401862974E-2</v>
      </c>
      <c r="G44" s="5">
        <v>-6.6969788271385333E-2</v>
      </c>
    </row>
    <row r="45" spans="1:7" x14ac:dyDescent="0.35">
      <c r="A45" s="3">
        <v>44092</v>
      </c>
      <c r="B45" s="4">
        <v>34924.68</v>
      </c>
      <c r="C45" s="4">
        <v>31074.55</v>
      </c>
      <c r="D45" s="4">
        <v>33273.230000000003</v>
      </c>
      <c r="E45" s="4">
        <v>33032.43</v>
      </c>
      <c r="F45" s="5">
        <v>7.2370491232742751E-3</v>
      </c>
      <c r="G45" s="5">
        <v>1.3015351440160194E-2</v>
      </c>
    </row>
    <row r="46" spans="1:7" x14ac:dyDescent="0.35">
      <c r="A46" s="3">
        <v>44093</v>
      </c>
      <c r="B46" s="4">
        <v>33627.67</v>
      </c>
      <c r="C46" s="4">
        <v>27986.12</v>
      </c>
      <c r="D46" s="4">
        <v>33032.43</v>
      </c>
      <c r="E46" s="4">
        <v>30923.27</v>
      </c>
      <c r="F46" s="5">
        <v>6.3851191087062054E-2</v>
      </c>
      <c r="G46" s="5">
        <v>-2.0807865373109191E-3</v>
      </c>
    </row>
    <row r="47" spans="1:7" x14ac:dyDescent="0.35">
      <c r="A47" s="3">
        <v>44094</v>
      </c>
      <c r="B47" s="4">
        <v>30504.73</v>
      </c>
      <c r="C47" s="4">
        <v>26310.74</v>
      </c>
      <c r="D47" s="4">
        <v>30923.27</v>
      </c>
      <c r="E47" s="4">
        <v>28058.23</v>
      </c>
      <c r="F47" s="5">
        <v>9.2649968777558156E-2</v>
      </c>
      <c r="G47" s="5">
        <v>3.6987048044228699E-2</v>
      </c>
    </row>
    <row r="48" spans="1:7" x14ac:dyDescent="0.35">
      <c r="A48" s="3">
        <v>44095</v>
      </c>
      <c r="B48" s="4">
        <v>26972.560000000001</v>
      </c>
      <c r="C48" s="4">
        <v>21867.68</v>
      </c>
      <c r="D48" s="4">
        <v>28058.23</v>
      </c>
      <c r="E48" s="4">
        <v>24034.65</v>
      </c>
      <c r="F48" s="5">
        <v>0.1434010627184964</v>
      </c>
      <c r="G48" s="5">
        <v>8.3095250929869025E-2</v>
      </c>
    </row>
    <row r="49" spans="1:7" x14ac:dyDescent="0.35">
      <c r="A49" s="3">
        <v>44096</v>
      </c>
      <c r="B49" s="4">
        <v>27011.05</v>
      </c>
      <c r="C49" s="4">
        <v>22965.71</v>
      </c>
      <c r="D49" s="4">
        <v>24034.65</v>
      </c>
      <c r="E49" s="4">
        <v>25030.52</v>
      </c>
      <c r="F49" s="5">
        <v>-4.1434761895846162E-2</v>
      </c>
      <c r="G49" s="5">
        <v>-1.1934507187160159E-2</v>
      </c>
    </row>
    <row r="50" spans="1:7" x14ac:dyDescent="0.35">
      <c r="A50" s="3">
        <v>44097</v>
      </c>
      <c r="B50" s="4">
        <v>25595.23</v>
      </c>
      <c r="C50" s="4">
        <v>21121.18</v>
      </c>
      <c r="D50" s="4">
        <v>25030.52</v>
      </c>
      <c r="E50" s="4">
        <v>21203.08</v>
      </c>
      <c r="F50" s="5">
        <v>0.15291092634112269</v>
      </c>
      <c r="G50" s="5">
        <v>6.989106753812635E-2</v>
      </c>
    </row>
    <row r="51" spans="1:7" x14ac:dyDescent="0.35">
      <c r="A51" s="3">
        <v>44098</v>
      </c>
      <c r="B51" s="4">
        <v>25331.95</v>
      </c>
      <c r="C51" s="4">
        <v>21303.33</v>
      </c>
      <c r="D51" s="4">
        <v>21203.08</v>
      </c>
      <c r="E51" s="4">
        <v>25299.72</v>
      </c>
      <c r="F51" s="5">
        <v>-0.19320966576553977</v>
      </c>
      <c r="G51" s="5">
        <v>-9.0539991879821313E-2</v>
      </c>
    </row>
    <row r="52" spans="1:7" x14ac:dyDescent="0.35">
      <c r="A52" s="3">
        <v>44099</v>
      </c>
      <c r="B52" s="4">
        <v>27430.42</v>
      </c>
      <c r="C52" s="4">
        <v>23494.98</v>
      </c>
      <c r="D52" s="4">
        <v>25299.72</v>
      </c>
      <c r="E52" s="4">
        <v>26831.55</v>
      </c>
      <c r="F52" s="5">
        <v>-6.0547310405016264E-2</v>
      </c>
      <c r="G52" s="5">
        <v>-8.133340970273073E-3</v>
      </c>
    </row>
    <row r="53" spans="1:7" x14ac:dyDescent="0.35">
      <c r="A53" s="3">
        <v>44100</v>
      </c>
      <c r="B53" s="4">
        <v>31970.720000000001</v>
      </c>
      <c r="C53" s="4">
        <v>25830.05</v>
      </c>
      <c r="D53" s="4">
        <v>26848.07</v>
      </c>
      <c r="E53" s="4">
        <v>31696.97</v>
      </c>
      <c r="F53" s="5">
        <v>-0.18133205126054963</v>
      </c>
      <c r="G53" s="5">
        <v>-6.2780523833874113E-3</v>
      </c>
    </row>
    <row r="54" spans="1:7" x14ac:dyDescent="0.35">
      <c r="A54" s="3">
        <v>44101</v>
      </c>
      <c r="B54" s="4">
        <v>34366.74</v>
      </c>
      <c r="C54" s="4">
        <v>28051.14</v>
      </c>
      <c r="D54" s="4">
        <v>31696.97</v>
      </c>
      <c r="E54" s="4">
        <v>30655.759999999998</v>
      </c>
      <c r="F54" s="5">
        <v>3.2848881139112107E-2</v>
      </c>
      <c r="G54" s="5">
        <v>-9.8805860599044948E-3</v>
      </c>
    </row>
    <row r="55" spans="1:7" x14ac:dyDescent="0.35">
      <c r="A55" s="3">
        <v>44102</v>
      </c>
      <c r="B55" s="4">
        <v>31379.07</v>
      </c>
      <c r="C55" s="4">
        <v>27712.95</v>
      </c>
      <c r="D55" s="4">
        <v>30655.759999999998</v>
      </c>
      <c r="E55" s="4">
        <v>28491.95</v>
      </c>
      <c r="F55" s="5">
        <v>7.0584125136678999E-2</v>
      </c>
      <c r="G55" s="5">
        <v>1.0398904201492809E-2</v>
      </c>
    </row>
    <row r="56" spans="1:7" x14ac:dyDescent="0.35">
      <c r="A56" s="3">
        <v>44103</v>
      </c>
      <c r="B56" s="4">
        <v>29206.44</v>
      </c>
      <c r="C56" s="4">
        <v>23883.360000000001</v>
      </c>
      <c r="D56" s="4">
        <v>28437.94</v>
      </c>
      <c r="E56" s="4">
        <v>25065.06</v>
      </c>
      <c r="F56" s="5">
        <v>0.12027572700359224</v>
      </c>
      <c r="G56" s="5">
        <v>-1.6694443659783786E-2</v>
      </c>
    </row>
    <row r="57" spans="1:7" x14ac:dyDescent="0.35">
      <c r="A57" s="3">
        <v>44104</v>
      </c>
      <c r="B57" s="4">
        <v>24943.58</v>
      </c>
      <c r="C57" s="4">
        <v>22054.69</v>
      </c>
      <c r="D57" s="4">
        <v>25065.06</v>
      </c>
      <c r="E57" s="4">
        <v>23865.64</v>
      </c>
      <c r="F57" s="5">
        <v>4.7852269254492152E-2</v>
      </c>
      <c r="G57" s="5">
        <v>2.7783951989335254E-4</v>
      </c>
    </row>
    <row r="58" spans="1:7" x14ac:dyDescent="0.35">
      <c r="A58" s="3">
        <v>44105</v>
      </c>
      <c r="B58" s="4">
        <v>26152.03</v>
      </c>
      <c r="C58" s="4">
        <v>21610.53</v>
      </c>
      <c r="D58" s="4">
        <v>23858.51</v>
      </c>
      <c r="E58" s="4">
        <v>22859.5</v>
      </c>
      <c r="F58" s="5">
        <v>4.2158517433431464E-2</v>
      </c>
      <c r="G58" s="5">
        <v>1.8370296259240804E-2</v>
      </c>
    </row>
    <row r="59" spans="1:7" x14ac:dyDescent="0.35">
      <c r="A59" s="3">
        <v>44106</v>
      </c>
      <c r="B59" s="4">
        <v>23305.29</v>
      </c>
      <c r="C59" s="4">
        <v>19004.97</v>
      </c>
      <c r="D59" s="4">
        <v>22859.5</v>
      </c>
      <c r="E59" s="4">
        <v>21136.33</v>
      </c>
      <c r="F59" s="5">
        <v>7.5380913843259845E-2</v>
      </c>
      <c r="G59" s="5">
        <v>2.0894085671413598E-2</v>
      </c>
    </row>
    <row r="60" spans="1:7" x14ac:dyDescent="0.35">
      <c r="A60" s="3">
        <v>44107</v>
      </c>
      <c r="B60" s="4">
        <v>21781.84</v>
      </c>
      <c r="C60" s="4">
        <v>18508.3</v>
      </c>
      <c r="D60" s="4">
        <v>21136.33</v>
      </c>
      <c r="E60" s="4">
        <v>18893.87</v>
      </c>
      <c r="F60" s="5">
        <v>0.10609505055986557</v>
      </c>
      <c r="G60" s="5">
        <v>-1.4168811265651282E-3</v>
      </c>
    </row>
    <row r="61" spans="1:7" x14ac:dyDescent="0.35">
      <c r="A61" s="3">
        <v>44108</v>
      </c>
      <c r="B61" s="4">
        <v>20193.7</v>
      </c>
      <c r="C61" s="4">
        <v>16157.36</v>
      </c>
      <c r="D61" s="4">
        <v>18893.87</v>
      </c>
      <c r="E61" s="4">
        <v>19172.34</v>
      </c>
      <c r="F61" s="5">
        <v>-1.4738642744974939E-2</v>
      </c>
      <c r="G61" s="5">
        <v>-1.816239316239332E-2</v>
      </c>
    </row>
    <row r="62" spans="1:7" x14ac:dyDescent="0.35">
      <c r="A62" s="3">
        <v>44109</v>
      </c>
      <c r="B62" s="4">
        <v>20491.84</v>
      </c>
      <c r="C62" s="4">
        <v>17560.13</v>
      </c>
      <c r="D62" s="4">
        <v>19172.34</v>
      </c>
      <c r="E62" s="4">
        <v>19182.75</v>
      </c>
      <c r="F62" s="5">
        <v>-5.4296971574663289E-4</v>
      </c>
      <c r="G62" s="5">
        <v>-3.2613936076684169E-3</v>
      </c>
    </row>
    <row r="63" spans="1:7" x14ac:dyDescent="0.35">
      <c r="A63" s="3">
        <v>44110</v>
      </c>
      <c r="B63" s="4">
        <v>19368.240000000002</v>
      </c>
      <c r="C63" s="4">
        <v>16185.87</v>
      </c>
      <c r="D63" s="4">
        <v>19182.75</v>
      </c>
      <c r="E63" s="4">
        <v>16619.150000000001</v>
      </c>
      <c r="F63" s="5">
        <v>0.13364090133062245</v>
      </c>
      <c r="G63" s="5">
        <v>3.6493668023518722E-2</v>
      </c>
    </row>
    <row r="64" spans="1:7" x14ac:dyDescent="0.35">
      <c r="A64" s="3">
        <v>44111</v>
      </c>
      <c r="B64" s="4">
        <v>16691.52</v>
      </c>
      <c r="C64" s="4">
        <v>13704.49</v>
      </c>
      <c r="D64" s="4">
        <v>16619.150000000001</v>
      </c>
      <c r="E64" s="4">
        <v>14850.49</v>
      </c>
      <c r="F64" s="5">
        <v>0.1064230120072327</v>
      </c>
      <c r="G64" s="5">
        <v>-3.1098723778788528E-3</v>
      </c>
    </row>
    <row r="65" spans="1:7" x14ac:dyDescent="0.35">
      <c r="A65" s="3">
        <v>44112</v>
      </c>
      <c r="B65" s="4">
        <v>17318.78</v>
      </c>
      <c r="C65" s="4">
        <v>12255.13</v>
      </c>
      <c r="D65" s="4">
        <v>14850.49</v>
      </c>
      <c r="E65" s="4">
        <v>16715.55</v>
      </c>
      <c r="F65" s="5">
        <v>-0.12558912197509975</v>
      </c>
      <c r="G65" s="5">
        <v>-2.7170892925038714E-2</v>
      </c>
    </row>
    <row r="66" spans="1:7" x14ac:dyDescent="0.35">
      <c r="A66" s="3">
        <v>44113</v>
      </c>
      <c r="B66" s="4">
        <v>19474.580000000002</v>
      </c>
      <c r="C66" s="4">
        <v>15818.08</v>
      </c>
      <c r="D66" s="4">
        <v>16715.55</v>
      </c>
      <c r="E66" s="4">
        <v>18035.04</v>
      </c>
      <c r="F66" s="5">
        <v>-7.893787521200335E-2</v>
      </c>
      <c r="G66" s="5">
        <v>-4.0461275626423765E-2</v>
      </c>
    </row>
    <row r="67" spans="1:7" x14ac:dyDescent="0.35">
      <c r="A67" s="3">
        <v>44114</v>
      </c>
      <c r="B67" s="4">
        <v>19541.53</v>
      </c>
      <c r="C67" s="4">
        <v>15870.99</v>
      </c>
      <c r="D67" s="4">
        <v>18035.04</v>
      </c>
      <c r="E67" s="4">
        <v>16037.81</v>
      </c>
      <c r="F67" s="5">
        <v>0.11074164515299112</v>
      </c>
      <c r="G67" s="5">
        <v>-1.4969486330423276E-2</v>
      </c>
    </row>
    <row r="68" spans="1:7" x14ac:dyDescent="0.35">
      <c r="A68" s="3">
        <v>44115</v>
      </c>
      <c r="B68" s="4">
        <v>17706.71</v>
      </c>
      <c r="C68" s="4">
        <v>15050.73</v>
      </c>
      <c r="D68" s="4">
        <v>16037.81</v>
      </c>
      <c r="E68" s="4">
        <v>16893.07</v>
      </c>
      <c r="F68" s="5">
        <v>-5.3327729908260624E-2</v>
      </c>
      <c r="G68" s="5">
        <v>-9.4100517687663032E-3</v>
      </c>
    </row>
    <row r="69" spans="1:7" x14ac:dyDescent="0.35">
      <c r="A69" s="3">
        <v>44116</v>
      </c>
      <c r="B69" s="4">
        <v>17486.59</v>
      </c>
      <c r="C69" s="4">
        <v>15702.17</v>
      </c>
      <c r="D69" s="4">
        <v>16893.07</v>
      </c>
      <c r="E69" s="4">
        <v>16514.419999999998</v>
      </c>
      <c r="F69" s="5">
        <v>2.2414516721945832E-2</v>
      </c>
      <c r="G69" s="5">
        <v>-3.3496273739882954E-2</v>
      </c>
    </row>
    <row r="70" spans="1:7" x14ac:dyDescent="0.35">
      <c r="A70" s="3">
        <v>44117</v>
      </c>
      <c r="B70" s="4">
        <v>16693.330000000002</v>
      </c>
      <c r="C70" s="4">
        <v>15333.87</v>
      </c>
      <c r="D70" s="4">
        <v>16514.419999999998</v>
      </c>
      <c r="E70" s="4">
        <v>15704.54</v>
      </c>
      <c r="F70" s="5">
        <v>4.9040777696098159E-2</v>
      </c>
      <c r="G70" s="5">
        <v>1.421519216355227E-2</v>
      </c>
    </row>
    <row r="71" spans="1:7" x14ac:dyDescent="0.35">
      <c r="A71" s="3">
        <v>44118</v>
      </c>
      <c r="B71" s="4">
        <v>16119.6</v>
      </c>
      <c r="C71" s="4">
        <v>13709.14</v>
      </c>
      <c r="D71" s="4">
        <v>15704.54</v>
      </c>
      <c r="E71" s="4">
        <v>14586.39</v>
      </c>
      <c r="F71" s="5">
        <v>7.1199156422283028E-2</v>
      </c>
      <c r="G71" s="5">
        <v>6.0302561547941336E-3</v>
      </c>
    </row>
    <row r="72" spans="1:7" x14ac:dyDescent="0.35">
      <c r="A72" s="3">
        <v>44119</v>
      </c>
      <c r="B72" s="4">
        <v>15792.49</v>
      </c>
      <c r="C72" s="4">
        <v>13959.96</v>
      </c>
      <c r="D72" s="4">
        <v>14586.39</v>
      </c>
      <c r="E72" s="4">
        <v>14581.81</v>
      </c>
      <c r="F72" s="5">
        <v>3.1399133027432136E-4</v>
      </c>
      <c r="G72" s="5">
        <v>3.7192371607185359E-3</v>
      </c>
    </row>
    <row r="73" spans="1:7" x14ac:dyDescent="0.35">
      <c r="A73" s="3">
        <v>44120</v>
      </c>
      <c r="B73" s="4">
        <v>14623.49</v>
      </c>
      <c r="C73" s="4">
        <v>13401.47</v>
      </c>
      <c r="D73" s="4">
        <v>14581.81</v>
      </c>
      <c r="E73" s="4">
        <v>13414.99</v>
      </c>
      <c r="F73" s="5">
        <v>8.0018872828544585E-2</v>
      </c>
      <c r="G73" s="5">
        <v>3.2088959491660018E-2</v>
      </c>
    </row>
    <row r="74" spans="1:7" x14ac:dyDescent="0.35">
      <c r="A74" s="3">
        <v>44121</v>
      </c>
      <c r="B74" s="4">
        <v>14141.1</v>
      </c>
      <c r="C74" s="4">
        <v>13139.7</v>
      </c>
      <c r="D74" s="4">
        <v>13414.99</v>
      </c>
      <c r="E74" s="4">
        <v>14022.34</v>
      </c>
      <c r="F74" s="5">
        <v>-4.5273980822945203E-2</v>
      </c>
      <c r="G74" s="5">
        <v>-8.3976147491657827E-3</v>
      </c>
    </row>
    <row r="75" spans="1:7" x14ac:dyDescent="0.35">
      <c r="A75" s="3">
        <v>44122</v>
      </c>
      <c r="B75" s="4">
        <v>15789.61</v>
      </c>
      <c r="C75" s="4">
        <v>13934.46</v>
      </c>
      <c r="D75" s="4">
        <v>14022.34</v>
      </c>
      <c r="E75" s="4">
        <v>15420.55</v>
      </c>
      <c r="F75" s="5">
        <v>-9.9713029351734317E-2</v>
      </c>
      <c r="G75" s="5">
        <v>-2.6556354265563575E-2</v>
      </c>
    </row>
    <row r="76" spans="1:7" x14ac:dyDescent="0.35">
      <c r="A76" s="3">
        <v>44123</v>
      </c>
      <c r="B76" s="4">
        <v>15678.22</v>
      </c>
      <c r="C76" s="4">
        <v>13756.75</v>
      </c>
      <c r="D76" s="4">
        <v>15420.55</v>
      </c>
      <c r="E76" s="4">
        <v>13775.57</v>
      </c>
      <c r="F76" s="5">
        <v>0.10667453495497892</v>
      </c>
      <c r="G76" s="5">
        <v>-2.5631540006343378E-3</v>
      </c>
    </row>
    <row r="77" spans="1:7" x14ac:dyDescent="0.35">
      <c r="A77" s="3">
        <v>44124</v>
      </c>
      <c r="B77" s="4">
        <v>14098.67</v>
      </c>
      <c r="C77" s="4">
        <v>12735.08</v>
      </c>
      <c r="D77" s="4">
        <v>13775.57</v>
      </c>
      <c r="E77" s="4">
        <v>13066.48</v>
      </c>
      <c r="F77" s="5">
        <v>5.1474458044204363E-2</v>
      </c>
      <c r="G77" s="5">
        <v>2.8122611422998878E-2</v>
      </c>
    </row>
    <row r="78" spans="1:7" x14ac:dyDescent="0.35">
      <c r="A78" s="3">
        <v>44125</v>
      </c>
      <c r="B78" s="4">
        <v>14661.79</v>
      </c>
      <c r="C78" s="4">
        <v>12901.45</v>
      </c>
      <c r="D78" s="4">
        <v>13066.48</v>
      </c>
      <c r="E78" s="4">
        <v>13317.77</v>
      </c>
      <c r="F78" s="5">
        <v>-1.9231652288910217E-2</v>
      </c>
      <c r="G78" s="5">
        <v>-6.1615230243531993E-2</v>
      </c>
    </row>
    <row r="79" spans="1:7" x14ac:dyDescent="0.35">
      <c r="A79" s="3">
        <v>44126</v>
      </c>
      <c r="B79" s="4">
        <v>14382.3</v>
      </c>
      <c r="C79" s="4">
        <v>13160.83</v>
      </c>
      <c r="D79" s="4">
        <v>13317.77</v>
      </c>
      <c r="E79" s="4">
        <v>13722.89</v>
      </c>
      <c r="F79" s="5">
        <v>-3.0419507169743731E-2</v>
      </c>
      <c r="G79" s="5">
        <v>-5.8856588157155221E-2</v>
      </c>
    </row>
    <row r="80" spans="1:7" x14ac:dyDescent="0.35">
      <c r="A80" s="3">
        <v>44127</v>
      </c>
      <c r="B80" s="4">
        <v>14954.77</v>
      </c>
      <c r="C80" s="4">
        <v>13622.34</v>
      </c>
      <c r="D80" s="4">
        <v>13722.89</v>
      </c>
      <c r="E80" s="4">
        <v>14911.69</v>
      </c>
      <c r="F80" s="5">
        <v>-8.6628982670559962E-2</v>
      </c>
      <c r="G80" s="5">
        <v>1.189384800965021E-2</v>
      </c>
    </row>
    <row r="81" spans="1:7" x14ac:dyDescent="0.35">
      <c r="A81" s="3">
        <v>44128</v>
      </c>
      <c r="B81" s="4">
        <v>15493.11</v>
      </c>
      <c r="C81" s="4">
        <v>14523.11</v>
      </c>
      <c r="D81" s="4">
        <v>14911.69</v>
      </c>
      <c r="E81" s="4">
        <v>14892.93</v>
      </c>
      <c r="F81" s="5">
        <v>1.258073363917811E-3</v>
      </c>
      <c r="G81" s="5">
        <v>-7.275923529555417E-3</v>
      </c>
    </row>
    <row r="82" spans="1:7" x14ac:dyDescent="0.35">
      <c r="A82" s="3">
        <v>44129</v>
      </c>
      <c r="B82" s="4">
        <v>14906.1</v>
      </c>
      <c r="C82" s="4">
        <v>14201.88</v>
      </c>
      <c r="D82" s="4">
        <v>14990.04</v>
      </c>
      <c r="E82" s="4">
        <v>14306.21</v>
      </c>
      <c r="F82" s="5">
        <v>3.9395874418264309E-2</v>
      </c>
      <c r="G82" s="5">
        <v>1.5004241910071547E-2</v>
      </c>
    </row>
    <row r="83" spans="1:7" x14ac:dyDescent="0.35">
      <c r="A83" s="3">
        <v>44130</v>
      </c>
      <c r="B83" s="4">
        <v>14575.08</v>
      </c>
      <c r="C83" s="4">
        <v>13206.03</v>
      </c>
      <c r="D83" s="4">
        <v>14313.33</v>
      </c>
      <c r="E83" s="4">
        <v>13620.09</v>
      </c>
      <c r="F83" s="5">
        <v>4.7959592372822657E-2</v>
      </c>
      <c r="G83" s="5">
        <v>3.2606555763362577E-2</v>
      </c>
    </row>
    <row r="84" spans="1:7" x14ac:dyDescent="0.35">
      <c r="A84" s="3">
        <v>44131</v>
      </c>
      <c r="B84" s="4">
        <v>14198.63</v>
      </c>
      <c r="C84" s="4">
        <v>13359.57</v>
      </c>
      <c r="D84" s="4">
        <v>13620.09</v>
      </c>
      <c r="E84" s="4">
        <v>13404.85</v>
      </c>
      <c r="F84" s="5">
        <v>1.580312611737511E-2</v>
      </c>
      <c r="G84" s="5">
        <v>-2.7040777390552329E-2</v>
      </c>
    </row>
    <row r="85" spans="1:7" x14ac:dyDescent="0.35">
      <c r="A85" s="3">
        <v>44132</v>
      </c>
      <c r="B85" s="4">
        <v>13597.39</v>
      </c>
      <c r="C85" s="4">
        <v>12075.63</v>
      </c>
      <c r="D85" s="4">
        <v>13404.85</v>
      </c>
      <c r="E85" s="4">
        <v>12565.87</v>
      </c>
      <c r="F85" s="5">
        <v>6.2587794716091549E-2</v>
      </c>
      <c r="G85" s="5">
        <v>3.7078317729231758E-2</v>
      </c>
    </row>
    <row r="86" spans="1:7" x14ac:dyDescent="0.35">
      <c r="A86" s="3">
        <v>44133</v>
      </c>
      <c r="B86" s="4">
        <v>12931.79</v>
      </c>
      <c r="C86" s="4">
        <v>10532.91</v>
      </c>
      <c r="D86" s="4">
        <v>12565.87</v>
      </c>
      <c r="E86" s="4">
        <v>10810.27</v>
      </c>
      <c r="F86" s="5">
        <v>0.13971177483134878</v>
      </c>
      <c r="G86" s="5">
        <v>3.163824369164181E-3</v>
      </c>
    </row>
    <row r="87" spans="1:7" x14ac:dyDescent="0.35">
      <c r="A87" s="3">
        <v>44134</v>
      </c>
      <c r="B87" s="4">
        <v>11968.8</v>
      </c>
      <c r="C87" s="4">
        <v>9644.83</v>
      </c>
      <c r="D87" s="4">
        <v>10810.27</v>
      </c>
      <c r="E87" s="4">
        <v>11019.63</v>
      </c>
      <c r="F87" s="5">
        <v>-1.9366768822610236E-2</v>
      </c>
      <c r="G87" s="5">
        <v>1.2334210662125256E-2</v>
      </c>
    </row>
    <row r="88" spans="1:7" x14ac:dyDescent="0.35">
      <c r="A88" s="3">
        <v>44135</v>
      </c>
      <c r="B88" s="4">
        <v>11432.03</v>
      </c>
      <c r="C88" s="4">
        <v>10280.379999999999</v>
      </c>
      <c r="D88" s="4">
        <v>11019.63</v>
      </c>
      <c r="E88" s="4">
        <v>10495.4</v>
      </c>
      <c r="F88" s="5">
        <v>4.7572377656962983E-2</v>
      </c>
      <c r="G88" s="5">
        <v>-1.0476538823283477E-2</v>
      </c>
    </row>
    <row r="89" spans="1:7" x14ac:dyDescent="0.35">
      <c r="A89" s="3">
        <v>44136</v>
      </c>
      <c r="B89" s="4">
        <v>11046.28</v>
      </c>
      <c r="C89" s="4">
        <v>9977.3700000000008</v>
      </c>
      <c r="D89" s="4">
        <v>10495.4</v>
      </c>
      <c r="E89" s="4">
        <v>10700.08</v>
      </c>
      <c r="F89" s="5">
        <v>-1.9501877012786606E-2</v>
      </c>
      <c r="G89" s="5">
        <v>-2.5803449078263707E-2</v>
      </c>
    </row>
    <row r="90" spans="1:7" x14ac:dyDescent="0.35">
      <c r="A90" s="3">
        <v>44137</v>
      </c>
      <c r="B90" s="4">
        <v>11239.16</v>
      </c>
      <c r="C90" s="4">
        <v>10034.799999999999</v>
      </c>
      <c r="D90" s="4">
        <v>10700.08</v>
      </c>
      <c r="E90" s="4">
        <v>10111.709999999999</v>
      </c>
      <c r="F90" s="5">
        <v>5.4987439346247946E-2</v>
      </c>
      <c r="G90" s="5">
        <v>3.3119092627599156E-2</v>
      </c>
    </row>
    <row r="91" spans="1:7" x14ac:dyDescent="0.35">
      <c r="A91" s="3">
        <v>44138</v>
      </c>
      <c r="B91" s="4">
        <v>10243.4</v>
      </c>
      <c r="C91" s="4">
        <v>9310.81</v>
      </c>
      <c r="D91" s="4">
        <v>10111.709999999999</v>
      </c>
      <c r="E91" s="4">
        <v>9375.14</v>
      </c>
      <c r="F91" s="5">
        <v>7.2843267854794114E-2</v>
      </c>
      <c r="G91" s="5">
        <v>-1.191314095044449E-2</v>
      </c>
    </row>
    <row r="92" spans="1:7" x14ac:dyDescent="0.35">
      <c r="A92" s="3">
        <v>44139</v>
      </c>
      <c r="B92" s="4">
        <v>9375.14</v>
      </c>
      <c r="C92" s="4">
        <v>9264.52</v>
      </c>
      <c r="D92" s="4">
        <v>9375.14</v>
      </c>
      <c r="E92" s="4">
        <v>9325.35</v>
      </c>
      <c r="F92" s="5">
        <v>5.3108540245797586E-3</v>
      </c>
      <c r="G92" s="5">
        <v>-1.5456746870001759E-4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17C27-E37A-4727-B106-04FB5E97E7A9}">
  <sheetPr codeName="Sheet11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142.63</v>
      </c>
      <c r="C2" s="4">
        <v>133.01</v>
      </c>
      <c r="D2" s="4">
        <v>135.01</v>
      </c>
      <c r="E2" s="4">
        <v>136.79</v>
      </c>
    </row>
    <row r="3" spans="1:7" x14ac:dyDescent="0.35">
      <c r="A3" s="3">
        <v>44050</v>
      </c>
      <c r="B3" s="4">
        <v>157.88999999999999</v>
      </c>
      <c r="C3" s="4">
        <v>136.41999999999999</v>
      </c>
      <c r="D3" s="4">
        <v>136.79</v>
      </c>
      <c r="E3" s="4">
        <v>154.65</v>
      </c>
      <c r="F3" s="5">
        <v>-0.13056509978799635</v>
      </c>
      <c r="G3" s="5">
        <v>3.9160591332523365E-2</v>
      </c>
    </row>
    <row r="4" spans="1:7" x14ac:dyDescent="0.35">
      <c r="A4" s="3">
        <v>44051</v>
      </c>
      <c r="B4" s="4">
        <v>160.01</v>
      </c>
      <c r="C4" s="4">
        <v>147.16</v>
      </c>
      <c r="D4" s="4">
        <v>154.65</v>
      </c>
      <c r="E4" s="4">
        <v>152.75</v>
      </c>
      <c r="F4" s="5">
        <v>1.2285806660200516E-2</v>
      </c>
      <c r="G4" s="5">
        <v>-4.739573728166091E-2</v>
      </c>
    </row>
    <row r="5" spans="1:7" x14ac:dyDescent="0.35">
      <c r="A5" s="3">
        <v>44052</v>
      </c>
      <c r="B5" s="4">
        <v>175.94</v>
      </c>
      <c r="C5" s="4">
        <v>149</v>
      </c>
      <c r="D5" s="4">
        <v>152.75</v>
      </c>
      <c r="E5" s="4">
        <v>170.49</v>
      </c>
      <c r="F5" s="5">
        <v>-0.11613747954173492</v>
      </c>
      <c r="G5" s="5">
        <v>1.8311701378408318E-2</v>
      </c>
    </row>
    <row r="6" spans="1:7" x14ac:dyDescent="0.35">
      <c r="A6" s="3">
        <v>44053</v>
      </c>
      <c r="B6" s="4">
        <v>191.67</v>
      </c>
      <c r="C6" s="4">
        <v>164.26</v>
      </c>
      <c r="D6" s="4">
        <v>170.49</v>
      </c>
      <c r="E6" s="4">
        <v>176.87</v>
      </c>
      <c r="F6" s="5">
        <v>-3.742154965100597E-2</v>
      </c>
      <c r="G6" s="5">
        <v>-1.3913088039356314E-2</v>
      </c>
    </row>
    <row r="7" spans="1:7" x14ac:dyDescent="0.35">
      <c r="A7" s="3">
        <v>44054</v>
      </c>
      <c r="B7" s="4">
        <v>198.78</v>
      </c>
      <c r="C7" s="4">
        <v>154.88</v>
      </c>
      <c r="D7" s="4">
        <v>176.87</v>
      </c>
      <c r="E7" s="4">
        <v>195.02</v>
      </c>
      <c r="F7" s="5">
        <v>-0.1026177418442924</v>
      </c>
      <c r="G7" s="5">
        <v>4.2379520355816047E-2</v>
      </c>
    </row>
    <row r="8" spans="1:7" x14ac:dyDescent="0.35">
      <c r="A8" s="3">
        <v>44055</v>
      </c>
      <c r="B8" s="4">
        <v>263.95</v>
      </c>
      <c r="C8" s="4">
        <v>190.32</v>
      </c>
      <c r="D8" s="4">
        <v>195.02</v>
      </c>
      <c r="E8" s="4">
        <v>218.51</v>
      </c>
      <c r="F8" s="5">
        <v>-0.12044918469900523</v>
      </c>
      <c r="G8" s="5">
        <v>-2.1771256663323912E-2</v>
      </c>
    </row>
    <row r="9" spans="1:7" x14ac:dyDescent="0.35">
      <c r="A9" s="3">
        <v>44056</v>
      </c>
      <c r="B9" s="4">
        <v>235.66</v>
      </c>
      <c r="C9" s="4">
        <v>186.13</v>
      </c>
      <c r="D9" s="4">
        <v>218.51</v>
      </c>
      <c r="E9" s="4">
        <v>204.97</v>
      </c>
      <c r="F9" s="5">
        <v>6.1965127454121083E-2</v>
      </c>
      <c r="G9" s="5">
        <v>-9.7574834060797144E-2</v>
      </c>
    </row>
    <row r="10" spans="1:7" x14ac:dyDescent="0.35">
      <c r="A10" s="3">
        <v>44057</v>
      </c>
      <c r="B10" s="4">
        <v>216.62</v>
      </c>
      <c r="C10" s="4">
        <v>191.13</v>
      </c>
      <c r="D10" s="4">
        <v>204.97</v>
      </c>
      <c r="E10" s="4">
        <v>196.39</v>
      </c>
      <c r="F10" s="5">
        <v>4.1859784358686647E-2</v>
      </c>
      <c r="G10" s="5">
        <v>-3.1861072546297331E-2</v>
      </c>
    </row>
    <row r="11" spans="1:7" x14ac:dyDescent="0.35">
      <c r="A11" s="3">
        <v>44058</v>
      </c>
      <c r="B11" s="4">
        <v>211.94</v>
      </c>
      <c r="C11" s="4">
        <v>186.95</v>
      </c>
      <c r="D11" s="4">
        <v>196.39</v>
      </c>
      <c r="E11" s="4">
        <v>196.9</v>
      </c>
      <c r="F11" s="5">
        <v>-2.596873567900726E-3</v>
      </c>
      <c r="G11" s="5">
        <v>1.3545871245809638E-2</v>
      </c>
    </row>
    <row r="12" spans="1:7" x14ac:dyDescent="0.35">
      <c r="A12" s="3">
        <v>44059</v>
      </c>
      <c r="B12" s="4">
        <v>207.32</v>
      </c>
      <c r="C12" s="4">
        <v>191.53</v>
      </c>
      <c r="D12" s="4">
        <v>196.9</v>
      </c>
      <c r="E12" s="4">
        <v>201.06</v>
      </c>
      <c r="F12" s="5">
        <v>-2.1127475876079105E-2</v>
      </c>
      <c r="G12" s="5">
        <v>-2.9590586494672166E-3</v>
      </c>
    </row>
    <row r="13" spans="1:7" x14ac:dyDescent="0.35">
      <c r="A13" s="3">
        <v>44060</v>
      </c>
      <c r="B13" s="4">
        <v>203.37</v>
      </c>
      <c r="C13" s="4">
        <v>184.28</v>
      </c>
      <c r="D13" s="4">
        <v>201.06</v>
      </c>
      <c r="E13" s="4">
        <v>185.03</v>
      </c>
      <c r="F13" s="5">
        <v>7.9727444543917225E-2</v>
      </c>
      <c r="G13" s="5">
        <v>5.9698052322232353E-3</v>
      </c>
    </row>
    <row r="14" spans="1:7" x14ac:dyDescent="0.35">
      <c r="A14" s="3">
        <v>44061</v>
      </c>
      <c r="B14" s="4">
        <v>191.54</v>
      </c>
      <c r="C14" s="4">
        <v>173.97</v>
      </c>
      <c r="D14" s="4">
        <v>185.03</v>
      </c>
      <c r="E14" s="4">
        <v>187.54</v>
      </c>
      <c r="F14" s="5">
        <v>-1.3565367778198167E-2</v>
      </c>
      <c r="G14" s="5">
        <v>2.1031396373417444E-2</v>
      </c>
    </row>
    <row r="15" spans="1:7" x14ac:dyDescent="0.35">
      <c r="A15" s="3">
        <v>44062</v>
      </c>
      <c r="B15" s="4">
        <v>211.75</v>
      </c>
      <c r="C15" s="4">
        <v>176.89</v>
      </c>
      <c r="D15" s="4">
        <v>187.54</v>
      </c>
      <c r="E15" s="4">
        <v>182.87</v>
      </c>
      <c r="F15" s="5">
        <v>2.4901354377732665E-2</v>
      </c>
      <c r="G15" s="5">
        <v>3.3965750017764473E-2</v>
      </c>
    </row>
    <row r="16" spans="1:7" x14ac:dyDescent="0.35">
      <c r="A16" s="3">
        <v>44063</v>
      </c>
      <c r="B16" s="4">
        <v>186.96</v>
      </c>
      <c r="C16" s="4">
        <v>178.05</v>
      </c>
      <c r="D16" s="4">
        <v>182.87</v>
      </c>
      <c r="E16" s="4">
        <v>179.88</v>
      </c>
      <c r="F16" s="5">
        <v>1.6350412861595665E-2</v>
      </c>
      <c r="G16" s="5">
        <v>-2.0080912100036707E-2</v>
      </c>
    </row>
    <row r="17" spans="1:7" x14ac:dyDescent="0.35">
      <c r="A17" s="3">
        <v>44064</v>
      </c>
      <c r="B17" s="4">
        <v>189.75</v>
      </c>
      <c r="C17" s="4">
        <v>162.09</v>
      </c>
      <c r="D17" s="4">
        <v>179.88</v>
      </c>
      <c r="E17" s="4">
        <v>169.78</v>
      </c>
      <c r="F17" s="5">
        <v>5.6148543473426682E-2</v>
      </c>
      <c r="G17" s="5">
        <v>6.7445437938659758E-2</v>
      </c>
    </row>
    <row r="18" spans="1:7" x14ac:dyDescent="0.35">
      <c r="A18" s="3">
        <v>44065</v>
      </c>
      <c r="B18" s="4">
        <v>179.46</v>
      </c>
      <c r="C18" s="4">
        <v>160.61000000000001</v>
      </c>
      <c r="D18" s="4">
        <v>169.78</v>
      </c>
      <c r="E18" s="4">
        <v>174.2</v>
      </c>
      <c r="F18" s="5">
        <v>-2.6033690658499253E-2</v>
      </c>
      <c r="G18" s="5">
        <v>-1.9279344296097678E-2</v>
      </c>
    </row>
    <row r="19" spans="1:7" x14ac:dyDescent="0.35">
      <c r="A19" s="3">
        <v>44066</v>
      </c>
      <c r="B19" s="4">
        <v>175.84</v>
      </c>
      <c r="C19" s="4">
        <v>164.49</v>
      </c>
      <c r="D19" s="4">
        <v>174.2</v>
      </c>
      <c r="E19" s="4">
        <v>169.55</v>
      </c>
      <c r="F19" s="5">
        <v>2.6693455797933252E-2</v>
      </c>
      <c r="G19" s="5">
        <v>1.1986041571840245E-2</v>
      </c>
    </row>
    <row r="20" spans="1:7" x14ac:dyDescent="0.35">
      <c r="A20" s="3">
        <v>44067</v>
      </c>
      <c r="B20" s="4">
        <v>189.53</v>
      </c>
      <c r="C20" s="4">
        <v>165.94</v>
      </c>
      <c r="D20" s="4">
        <v>169.55</v>
      </c>
      <c r="E20" s="4">
        <v>181.33</v>
      </c>
      <c r="F20" s="5">
        <v>-6.9478030079622499E-2</v>
      </c>
      <c r="G20" s="5">
        <v>-4.4302825552825498E-2</v>
      </c>
    </row>
    <row r="21" spans="1:7" x14ac:dyDescent="0.35">
      <c r="A21" s="3">
        <v>44068</v>
      </c>
      <c r="B21" s="4">
        <v>189.84</v>
      </c>
      <c r="C21" s="4">
        <v>161.29</v>
      </c>
      <c r="D21" s="4">
        <v>181.33</v>
      </c>
      <c r="E21" s="4">
        <v>165.43</v>
      </c>
      <c r="F21" s="5">
        <v>8.7685435394032951E-2</v>
      </c>
      <c r="G21" s="5">
        <v>6.051025659877951E-2</v>
      </c>
    </row>
    <row r="22" spans="1:7" x14ac:dyDescent="0.35">
      <c r="A22" s="3">
        <v>44069</v>
      </c>
      <c r="B22" s="4">
        <v>189.35</v>
      </c>
      <c r="C22" s="4">
        <v>162.32</v>
      </c>
      <c r="D22" s="4">
        <v>165.43</v>
      </c>
      <c r="E22" s="4">
        <v>180.01</v>
      </c>
      <c r="F22" s="5">
        <v>-8.8133953938221543E-2</v>
      </c>
      <c r="G22" s="5">
        <v>-6.9911827620390277E-3</v>
      </c>
    </row>
    <row r="23" spans="1:7" x14ac:dyDescent="0.35">
      <c r="A23" s="3">
        <v>44070</v>
      </c>
      <c r="B23" s="4">
        <v>180.17</v>
      </c>
      <c r="C23" s="4">
        <v>165.09</v>
      </c>
      <c r="D23" s="4">
        <v>180.01</v>
      </c>
      <c r="E23" s="4">
        <v>171.24</v>
      </c>
      <c r="F23" s="5">
        <v>4.8719515582467565E-2</v>
      </c>
      <c r="G23" s="5">
        <v>7.8493342313868952E-3</v>
      </c>
    </row>
    <row r="24" spans="1:7" x14ac:dyDescent="0.35">
      <c r="A24" s="3">
        <v>44071</v>
      </c>
      <c r="B24" s="4">
        <v>203.89</v>
      </c>
      <c r="C24" s="4">
        <v>169.33</v>
      </c>
      <c r="D24" s="4">
        <v>171.24</v>
      </c>
      <c r="E24" s="4">
        <v>189.13</v>
      </c>
      <c r="F24" s="5">
        <v>-0.10447325391263718</v>
      </c>
      <c r="G24" s="5">
        <v>-3.2768479594767586E-2</v>
      </c>
    </row>
    <row r="25" spans="1:7" x14ac:dyDescent="0.35">
      <c r="A25" s="3">
        <v>44072</v>
      </c>
      <c r="B25" s="4">
        <v>200.28</v>
      </c>
      <c r="C25" s="4">
        <v>185.07</v>
      </c>
      <c r="D25" s="4">
        <v>189.13</v>
      </c>
      <c r="E25" s="4">
        <v>193.67</v>
      </c>
      <c r="F25" s="5">
        <v>-2.4004652884259459E-2</v>
      </c>
      <c r="G25" s="5">
        <v>-8.6211255498811479E-3</v>
      </c>
    </row>
    <row r="26" spans="1:7" x14ac:dyDescent="0.35">
      <c r="A26" s="3">
        <v>44073</v>
      </c>
      <c r="B26" s="4">
        <v>228.09</v>
      </c>
      <c r="C26" s="4">
        <v>191.8</v>
      </c>
      <c r="D26" s="4">
        <v>193.67</v>
      </c>
      <c r="E26" s="4">
        <v>216.95</v>
      </c>
      <c r="F26" s="5">
        <v>-0.12020447152372604</v>
      </c>
      <c r="G26" s="5">
        <v>-7.5773906504574606E-2</v>
      </c>
    </row>
    <row r="27" spans="1:7" x14ac:dyDescent="0.35">
      <c r="A27" s="3">
        <v>44074</v>
      </c>
      <c r="B27" s="4">
        <v>251.61</v>
      </c>
      <c r="C27" s="4">
        <v>207.82</v>
      </c>
      <c r="D27" s="4">
        <v>216.95</v>
      </c>
      <c r="E27" s="4">
        <v>243.02</v>
      </c>
      <c r="F27" s="5">
        <v>-0.12016593685180932</v>
      </c>
      <c r="G27" s="5">
        <v>-1.1556922503378475E-2</v>
      </c>
    </row>
    <row r="28" spans="1:7" x14ac:dyDescent="0.35">
      <c r="A28" s="3">
        <v>44075</v>
      </c>
      <c r="B28" s="4">
        <v>272.48</v>
      </c>
      <c r="C28" s="4">
        <v>235.03</v>
      </c>
      <c r="D28" s="4">
        <v>243.02</v>
      </c>
      <c r="E28" s="4">
        <v>256.74</v>
      </c>
      <c r="F28" s="5">
        <v>-5.6456258744136179E-2</v>
      </c>
      <c r="G28" s="5">
        <v>-9.6397475468742888E-2</v>
      </c>
    </row>
    <row r="29" spans="1:7" x14ac:dyDescent="0.35">
      <c r="A29" s="3">
        <v>44076</v>
      </c>
      <c r="B29" s="4">
        <v>257.10000000000002</v>
      </c>
      <c r="C29" s="4">
        <v>204.2</v>
      </c>
      <c r="D29" s="4">
        <v>256.74</v>
      </c>
      <c r="E29" s="4">
        <v>227.11</v>
      </c>
      <c r="F29" s="5">
        <v>0.11540858456025549</v>
      </c>
      <c r="G29" s="5">
        <v>7.5967982520641186E-2</v>
      </c>
    </row>
    <row r="30" spans="1:7" x14ac:dyDescent="0.35">
      <c r="A30" s="3">
        <v>44077</v>
      </c>
      <c r="B30" s="4">
        <v>244.66</v>
      </c>
      <c r="C30" s="4">
        <v>181.39</v>
      </c>
      <c r="D30" s="4">
        <v>227.11</v>
      </c>
      <c r="E30" s="4">
        <v>188.19</v>
      </c>
      <c r="F30" s="5">
        <v>0.17137070142221833</v>
      </c>
      <c r="G30" s="5">
        <v>0.1304367596571403</v>
      </c>
    </row>
    <row r="31" spans="1:7" x14ac:dyDescent="0.35">
      <c r="A31" s="3">
        <v>44078</v>
      </c>
      <c r="B31" s="4">
        <v>201.8</v>
      </c>
      <c r="C31" s="4">
        <v>180.07</v>
      </c>
      <c r="D31" s="4">
        <v>188.19</v>
      </c>
      <c r="E31" s="4">
        <v>187.8</v>
      </c>
      <c r="F31" s="5">
        <v>2.0723736649130853E-3</v>
      </c>
      <c r="G31" s="5">
        <v>-9.0205511687497797E-3</v>
      </c>
    </row>
    <row r="32" spans="1:7" x14ac:dyDescent="0.35">
      <c r="A32" s="3">
        <v>44079</v>
      </c>
      <c r="B32" s="4">
        <v>198.25</v>
      </c>
      <c r="C32" s="4">
        <v>150.33000000000001</v>
      </c>
      <c r="D32" s="4">
        <v>187.8</v>
      </c>
      <c r="E32" s="4">
        <v>158.03</v>
      </c>
      <c r="F32" s="5">
        <v>0.15851970181043673</v>
      </c>
      <c r="G32" s="5">
        <v>0.13130004405172191</v>
      </c>
    </row>
    <row r="33" spans="1:7" x14ac:dyDescent="0.35">
      <c r="A33" s="3">
        <v>44080</v>
      </c>
      <c r="B33" s="4">
        <v>177.96</v>
      </c>
      <c r="C33" s="4">
        <v>145.53</v>
      </c>
      <c r="D33" s="4">
        <v>158.03</v>
      </c>
      <c r="E33" s="4">
        <v>171.98</v>
      </c>
      <c r="F33" s="5">
        <v>-8.8274378282604538E-2</v>
      </c>
      <c r="G33" s="5">
        <v>-5.2052261066698469E-2</v>
      </c>
    </row>
    <row r="34" spans="1:7" x14ac:dyDescent="0.35">
      <c r="A34" s="3">
        <v>44081</v>
      </c>
      <c r="B34" s="4">
        <v>180.26</v>
      </c>
      <c r="C34" s="4">
        <v>154.06</v>
      </c>
      <c r="D34" s="4">
        <v>171.98</v>
      </c>
      <c r="E34" s="4">
        <v>178.93</v>
      </c>
      <c r="F34" s="5">
        <v>-4.0411675776253153E-2</v>
      </c>
      <c r="G34" s="5">
        <v>-2.8637046698234414E-3</v>
      </c>
    </row>
    <row r="35" spans="1:7" x14ac:dyDescent="0.35">
      <c r="A35" s="3">
        <v>44082</v>
      </c>
      <c r="B35" s="4">
        <v>184.92</v>
      </c>
      <c r="C35" s="4">
        <v>167.29</v>
      </c>
      <c r="D35" s="4">
        <v>178.93</v>
      </c>
      <c r="E35" s="4">
        <v>173.47</v>
      </c>
      <c r="F35" s="5">
        <v>3.0514726429329952E-2</v>
      </c>
      <c r="G35" s="5">
        <v>4.5942889454339886E-2</v>
      </c>
    </row>
    <row r="36" spans="1:7" x14ac:dyDescent="0.35">
      <c r="A36" s="3">
        <v>44083</v>
      </c>
      <c r="B36" s="4">
        <v>185.1</v>
      </c>
      <c r="C36" s="4">
        <v>167.36</v>
      </c>
      <c r="D36" s="4">
        <v>173.47</v>
      </c>
      <c r="E36" s="4">
        <v>177.84</v>
      </c>
      <c r="F36" s="5">
        <v>-2.5191675794085544E-2</v>
      </c>
      <c r="G36" s="5">
        <v>-4.0598607201066894E-2</v>
      </c>
    </row>
    <row r="37" spans="1:7" x14ac:dyDescent="0.35">
      <c r="A37" s="3">
        <v>44084</v>
      </c>
      <c r="B37" s="4">
        <v>186.86</v>
      </c>
      <c r="C37" s="4">
        <v>169.54</v>
      </c>
      <c r="D37" s="4">
        <v>177.84</v>
      </c>
      <c r="E37" s="4">
        <v>171.55</v>
      </c>
      <c r="F37" s="5">
        <v>3.5368870895186588E-2</v>
      </c>
      <c r="G37" s="5">
        <v>-4.8241492239783579E-2</v>
      </c>
    </row>
    <row r="38" spans="1:7" x14ac:dyDescent="0.35">
      <c r="A38" s="3">
        <v>44085</v>
      </c>
      <c r="B38" s="4">
        <v>177.8</v>
      </c>
      <c r="C38" s="4">
        <v>160.13</v>
      </c>
      <c r="D38" s="4">
        <v>171.55</v>
      </c>
      <c r="E38" s="4">
        <v>173.29</v>
      </c>
      <c r="F38" s="5">
        <v>-1.01428155056833E-2</v>
      </c>
      <c r="G38" s="5">
        <v>-1.6028688635931543E-2</v>
      </c>
    </row>
    <row r="39" spans="1:7" x14ac:dyDescent="0.35">
      <c r="A39" s="3">
        <v>44086</v>
      </c>
      <c r="B39" s="4">
        <v>181.03</v>
      </c>
      <c r="C39" s="4">
        <v>169.54</v>
      </c>
      <c r="D39" s="4">
        <v>173.29</v>
      </c>
      <c r="E39" s="4">
        <v>180.62</v>
      </c>
      <c r="F39" s="5">
        <v>-4.2299036297535952E-2</v>
      </c>
      <c r="G39" s="5">
        <v>-3.7567849407738274E-2</v>
      </c>
    </row>
    <row r="40" spans="1:7" x14ac:dyDescent="0.35">
      <c r="A40" s="3">
        <v>44087</v>
      </c>
      <c r="B40" s="4">
        <v>184.96</v>
      </c>
      <c r="C40" s="4">
        <v>161.59</v>
      </c>
      <c r="D40" s="4">
        <v>180.62</v>
      </c>
      <c r="E40" s="4">
        <v>164.87</v>
      </c>
      <c r="F40" s="5">
        <v>8.719964566493188E-2</v>
      </c>
      <c r="G40" s="5">
        <v>5.6076693124420318E-2</v>
      </c>
    </row>
    <row r="41" spans="1:7" x14ac:dyDescent="0.35">
      <c r="A41" s="3">
        <v>44088</v>
      </c>
      <c r="B41" s="4">
        <v>170.68</v>
      </c>
      <c r="C41" s="4">
        <v>158.94</v>
      </c>
      <c r="D41" s="4">
        <v>164.87</v>
      </c>
      <c r="E41" s="4">
        <v>166.25</v>
      </c>
      <c r="F41" s="5">
        <v>-8.3702310911626387E-3</v>
      </c>
      <c r="G41" s="5">
        <v>-2.9977066724909962E-2</v>
      </c>
    </row>
    <row r="42" spans="1:7" x14ac:dyDescent="0.35">
      <c r="A42" s="3">
        <v>44089</v>
      </c>
      <c r="B42" s="4">
        <v>169.86</v>
      </c>
      <c r="C42" s="4">
        <v>152.21</v>
      </c>
      <c r="D42" s="4">
        <v>166.25</v>
      </c>
      <c r="E42" s="4">
        <v>154.61000000000001</v>
      </c>
      <c r="F42" s="5">
        <v>7.0015037593984863E-2</v>
      </c>
      <c r="G42" s="5">
        <v>3.4724062980437842E-2</v>
      </c>
    </row>
    <row r="43" spans="1:7" x14ac:dyDescent="0.35">
      <c r="A43" s="3">
        <v>44090</v>
      </c>
      <c r="B43" s="4">
        <v>154.93</v>
      </c>
      <c r="C43" s="4">
        <v>147.38</v>
      </c>
      <c r="D43" s="4">
        <v>154.61000000000001</v>
      </c>
      <c r="E43" s="4">
        <v>153</v>
      </c>
      <c r="F43" s="5">
        <v>1.0413297975551461E-2</v>
      </c>
      <c r="G43" s="5">
        <v>-2.5538224956060951E-3</v>
      </c>
    </row>
    <row r="44" spans="1:7" x14ac:dyDescent="0.35">
      <c r="A44" s="3">
        <v>44091</v>
      </c>
      <c r="B44" s="4">
        <v>161.13999999999999</v>
      </c>
      <c r="C44" s="4">
        <v>146.66999999999999</v>
      </c>
      <c r="D44" s="4">
        <v>153</v>
      </c>
      <c r="E44" s="4">
        <v>158.1</v>
      </c>
      <c r="F44" s="5">
        <v>-3.3333333333333215E-2</v>
      </c>
      <c r="G44" s="5">
        <v>-6.6969788271385333E-2</v>
      </c>
    </row>
    <row r="45" spans="1:7" x14ac:dyDescent="0.35">
      <c r="A45" s="3">
        <v>44092</v>
      </c>
      <c r="B45" s="4">
        <v>167.98</v>
      </c>
      <c r="C45" s="4">
        <v>151.19999999999999</v>
      </c>
      <c r="D45" s="4">
        <v>158.1</v>
      </c>
      <c r="E45" s="4">
        <v>153.78</v>
      </c>
      <c r="F45" s="5">
        <v>2.7324478178368028E-2</v>
      </c>
      <c r="G45" s="5">
        <v>1.3015351440160194E-2</v>
      </c>
    </row>
    <row r="46" spans="1:7" x14ac:dyDescent="0.35">
      <c r="A46" s="3">
        <v>44093</v>
      </c>
      <c r="B46" s="4">
        <v>156.56</v>
      </c>
      <c r="C46" s="4">
        <v>151</v>
      </c>
      <c r="D46" s="4">
        <v>153.78</v>
      </c>
      <c r="E46" s="4">
        <v>151.86000000000001</v>
      </c>
      <c r="F46" s="5">
        <v>1.2485368708544553E-2</v>
      </c>
      <c r="G46" s="5">
        <v>-2.0807865373109191E-3</v>
      </c>
    </row>
    <row r="47" spans="1:7" x14ac:dyDescent="0.35">
      <c r="A47" s="3">
        <v>44094</v>
      </c>
      <c r="B47" s="4">
        <v>152.79</v>
      </c>
      <c r="C47" s="4">
        <v>140.5</v>
      </c>
      <c r="D47" s="4">
        <v>151.86000000000001</v>
      </c>
      <c r="E47" s="4">
        <v>144.69999999999999</v>
      </c>
      <c r="F47" s="5">
        <v>4.7148689582510395E-2</v>
      </c>
      <c r="G47" s="5">
        <v>3.6987048044228699E-2</v>
      </c>
    </row>
    <row r="48" spans="1:7" x14ac:dyDescent="0.35">
      <c r="A48" s="3">
        <v>44095</v>
      </c>
      <c r="B48" s="4">
        <v>145.99</v>
      </c>
      <c r="C48" s="4">
        <v>125.26</v>
      </c>
      <c r="D48" s="4">
        <v>144.69999999999999</v>
      </c>
      <c r="E48" s="4">
        <v>128.35</v>
      </c>
      <c r="F48" s="5">
        <v>0.11299239806496197</v>
      </c>
      <c r="G48" s="5">
        <v>8.3095250929869025E-2</v>
      </c>
    </row>
    <row r="49" spans="1:7" x14ac:dyDescent="0.35">
      <c r="A49" s="3">
        <v>44096</v>
      </c>
      <c r="B49" s="4">
        <v>146.06</v>
      </c>
      <c r="C49" s="4">
        <v>127.35</v>
      </c>
      <c r="D49" s="4">
        <v>128.35</v>
      </c>
      <c r="E49" s="4">
        <v>143.56</v>
      </c>
      <c r="F49" s="5">
        <v>-0.11850409037787313</v>
      </c>
      <c r="G49" s="5">
        <v>-1.1934507187160159E-2</v>
      </c>
    </row>
    <row r="50" spans="1:7" x14ac:dyDescent="0.35">
      <c r="A50" s="3">
        <v>44097</v>
      </c>
      <c r="B50" s="4">
        <v>146.9</v>
      </c>
      <c r="C50" s="4">
        <v>124.37</v>
      </c>
      <c r="D50" s="4">
        <v>143.56</v>
      </c>
      <c r="E50" s="4">
        <v>127.06</v>
      </c>
      <c r="F50" s="5">
        <v>0.11493452215101696</v>
      </c>
      <c r="G50" s="5">
        <v>6.989106753812635E-2</v>
      </c>
    </row>
    <row r="51" spans="1:7" x14ac:dyDescent="0.35">
      <c r="A51" s="3">
        <v>44098</v>
      </c>
      <c r="B51" s="4">
        <v>141.18</v>
      </c>
      <c r="C51" s="4">
        <v>126.1</v>
      </c>
      <c r="D51" s="4">
        <v>127.06</v>
      </c>
      <c r="E51" s="4">
        <v>138.59</v>
      </c>
      <c r="F51" s="5">
        <v>-9.0744530143239466E-2</v>
      </c>
      <c r="G51" s="5">
        <v>-9.0539991879821313E-2</v>
      </c>
    </row>
    <row r="52" spans="1:7" x14ac:dyDescent="0.35">
      <c r="A52" s="3">
        <v>44099</v>
      </c>
      <c r="B52" s="4">
        <v>144</v>
      </c>
      <c r="C52" s="4">
        <v>133.08000000000001</v>
      </c>
      <c r="D52" s="4">
        <v>138.59</v>
      </c>
      <c r="E52" s="4">
        <v>139.21</v>
      </c>
      <c r="F52" s="5">
        <v>-4.4736272458330006E-3</v>
      </c>
      <c r="G52" s="5">
        <v>-8.133340970273073E-3</v>
      </c>
    </row>
    <row r="53" spans="1:7" x14ac:dyDescent="0.35">
      <c r="A53" s="3">
        <v>44100</v>
      </c>
      <c r="B53" s="4">
        <v>147.37</v>
      </c>
      <c r="C53" s="4">
        <v>136.9</v>
      </c>
      <c r="D53" s="4">
        <v>139.21</v>
      </c>
      <c r="E53" s="4">
        <v>144.05000000000001</v>
      </c>
      <c r="F53" s="5">
        <v>-3.4767617268874451E-2</v>
      </c>
      <c r="G53" s="5">
        <v>-6.2780523833874113E-3</v>
      </c>
    </row>
    <row r="54" spans="1:7" x14ac:dyDescent="0.35">
      <c r="A54" s="3">
        <v>44101</v>
      </c>
      <c r="B54" s="4">
        <v>147.63999999999999</v>
      </c>
      <c r="C54" s="4">
        <v>135.55000000000001</v>
      </c>
      <c r="D54" s="4">
        <v>144.05000000000001</v>
      </c>
      <c r="E54" s="4">
        <v>139.08000000000001</v>
      </c>
      <c r="F54" s="5">
        <v>3.4501909059354352E-2</v>
      </c>
      <c r="G54" s="5">
        <v>-9.8805860599044948E-3</v>
      </c>
    </row>
    <row r="55" spans="1:7" x14ac:dyDescent="0.35">
      <c r="A55" s="3">
        <v>44102</v>
      </c>
      <c r="B55" s="4">
        <v>141.41</v>
      </c>
      <c r="C55" s="4">
        <v>130.03</v>
      </c>
      <c r="D55" s="4">
        <v>139.08000000000001</v>
      </c>
      <c r="E55" s="4">
        <v>131.47999999999999</v>
      </c>
      <c r="F55" s="5">
        <v>5.4644808743169571E-2</v>
      </c>
      <c r="G55" s="5">
        <v>1.0398904201492809E-2</v>
      </c>
    </row>
    <row r="56" spans="1:7" x14ac:dyDescent="0.35">
      <c r="A56" s="3">
        <v>44103</v>
      </c>
      <c r="B56" s="4">
        <v>134.52000000000001</v>
      </c>
      <c r="C56" s="4">
        <v>127.92</v>
      </c>
      <c r="D56" s="4">
        <v>131.47999999999999</v>
      </c>
      <c r="E56" s="4">
        <v>132.80000000000001</v>
      </c>
      <c r="F56" s="5">
        <v>-1.003954974140564E-2</v>
      </c>
      <c r="G56" s="5">
        <v>-1.6694443659783786E-2</v>
      </c>
    </row>
    <row r="57" spans="1:7" x14ac:dyDescent="0.35">
      <c r="A57" s="3">
        <v>44104</v>
      </c>
      <c r="B57" s="4">
        <v>136.19999999999999</v>
      </c>
      <c r="C57" s="4">
        <v>130.1</v>
      </c>
      <c r="D57" s="4">
        <v>132.80000000000001</v>
      </c>
      <c r="E57" s="4">
        <v>133.41999999999999</v>
      </c>
      <c r="F57" s="5">
        <v>-4.6686746987949501E-3</v>
      </c>
      <c r="G57" s="5">
        <v>2.7783951989335254E-4</v>
      </c>
    </row>
    <row r="58" spans="1:7" x14ac:dyDescent="0.35">
      <c r="A58" s="3">
        <v>44105</v>
      </c>
      <c r="B58" s="4">
        <v>139.97</v>
      </c>
      <c r="C58" s="4">
        <v>125.28</v>
      </c>
      <c r="D58" s="4">
        <v>133.41999999999999</v>
      </c>
      <c r="E58" s="4">
        <v>129.31</v>
      </c>
      <c r="F58" s="5">
        <v>3.0804976765102521E-2</v>
      </c>
      <c r="G58" s="5">
        <v>1.8370296259240804E-2</v>
      </c>
    </row>
    <row r="59" spans="1:7" x14ac:dyDescent="0.35">
      <c r="A59" s="3">
        <v>44106</v>
      </c>
      <c r="B59" s="4">
        <v>130.77000000000001</v>
      </c>
      <c r="C59" s="4">
        <v>116.66</v>
      </c>
      <c r="D59" s="4">
        <v>129.31</v>
      </c>
      <c r="E59" s="4">
        <v>120.32</v>
      </c>
      <c r="F59" s="5">
        <v>6.9522852060938889E-2</v>
      </c>
      <c r="G59" s="5">
        <v>2.0894085671413598E-2</v>
      </c>
    </row>
    <row r="60" spans="1:7" x14ac:dyDescent="0.35">
      <c r="A60" s="3">
        <v>44107</v>
      </c>
      <c r="B60" s="4">
        <v>125.48</v>
      </c>
      <c r="C60" s="4">
        <v>120.04</v>
      </c>
      <c r="D60" s="4">
        <v>120.32</v>
      </c>
      <c r="E60" s="4">
        <v>121.57</v>
      </c>
      <c r="F60" s="5">
        <v>-1.0388962765957466E-2</v>
      </c>
      <c r="G60" s="5">
        <v>-1.4168811265651282E-3</v>
      </c>
    </row>
    <row r="61" spans="1:7" x14ac:dyDescent="0.35">
      <c r="A61" s="3">
        <v>44108</v>
      </c>
      <c r="B61" s="4">
        <v>122.71</v>
      </c>
      <c r="C61" s="4">
        <v>117.11</v>
      </c>
      <c r="D61" s="4">
        <v>121.57</v>
      </c>
      <c r="E61" s="4">
        <v>119.6</v>
      </c>
      <c r="F61" s="5">
        <v>1.6204655753886632E-2</v>
      </c>
      <c r="G61" s="5">
        <v>-1.816239316239332E-2</v>
      </c>
    </row>
    <row r="62" spans="1:7" x14ac:dyDescent="0.35">
      <c r="A62" s="3">
        <v>44109</v>
      </c>
      <c r="B62" s="4">
        <v>124.56</v>
      </c>
      <c r="C62" s="4">
        <v>117.61</v>
      </c>
      <c r="D62" s="4">
        <v>119.6</v>
      </c>
      <c r="E62" s="4">
        <v>122.05</v>
      </c>
      <c r="F62" s="5">
        <v>-2.0484949832775934E-2</v>
      </c>
      <c r="G62" s="5">
        <v>-3.2613936076684169E-3</v>
      </c>
    </row>
    <row r="63" spans="1:7" x14ac:dyDescent="0.35">
      <c r="A63" s="3">
        <v>44110</v>
      </c>
      <c r="B63" s="4">
        <v>122.99</v>
      </c>
      <c r="C63" s="4">
        <v>101.37</v>
      </c>
      <c r="D63" s="4">
        <v>122.05</v>
      </c>
      <c r="E63" s="4">
        <v>105.55</v>
      </c>
      <c r="F63" s="5">
        <v>0.13519049569848418</v>
      </c>
      <c r="G63" s="5">
        <v>3.6493668023518722E-2</v>
      </c>
    </row>
    <row r="64" spans="1:7" x14ac:dyDescent="0.35">
      <c r="A64" s="3">
        <v>44111</v>
      </c>
      <c r="B64" s="4">
        <v>111.85</v>
      </c>
      <c r="C64" s="4">
        <v>101.3</v>
      </c>
      <c r="D64" s="4">
        <v>105.55</v>
      </c>
      <c r="E64" s="4">
        <v>110.48</v>
      </c>
      <c r="F64" s="5">
        <v>-4.6707721459024132E-2</v>
      </c>
      <c r="G64" s="5">
        <v>-3.1098723778788528E-3</v>
      </c>
    </row>
    <row r="65" spans="1:7" x14ac:dyDescent="0.35">
      <c r="A65" s="3">
        <v>44112</v>
      </c>
      <c r="B65" s="4">
        <v>114.03</v>
      </c>
      <c r="C65" s="4">
        <v>102.43</v>
      </c>
      <c r="D65" s="4">
        <v>110.48</v>
      </c>
      <c r="E65" s="4">
        <v>108.07</v>
      </c>
      <c r="F65" s="5">
        <v>2.1813902968863208E-2</v>
      </c>
      <c r="G65" s="5">
        <v>-2.7170892925038714E-2</v>
      </c>
    </row>
    <row r="66" spans="1:7" x14ac:dyDescent="0.35">
      <c r="A66" s="3">
        <v>44113</v>
      </c>
      <c r="B66" s="4">
        <v>117.71</v>
      </c>
      <c r="C66" s="4">
        <v>103.6</v>
      </c>
      <c r="D66" s="4">
        <v>108.07</v>
      </c>
      <c r="E66" s="4">
        <v>115.6</v>
      </c>
      <c r="F66" s="5">
        <v>-6.967706116406025E-2</v>
      </c>
      <c r="G66" s="5">
        <v>-4.0461275626423765E-2</v>
      </c>
    </row>
    <row r="67" spans="1:7" x14ac:dyDescent="0.35">
      <c r="A67" s="3">
        <v>44114</v>
      </c>
      <c r="B67" s="4">
        <v>119.57</v>
      </c>
      <c r="C67" s="4">
        <v>113</v>
      </c>
      <c r="D67" s="4">
        <v>115.6</v>
      </c>
      <c r="E67" s="4">
        <v>113.93</v>
      </c>
      <c r="F67" s="5">
        <v>1.4446366782006836E-2</v>
      </c>
      <c r="G67" s="5">
        <v>-1.4969486330423276E-2</v>
      </c>
    </row>
    <row r="68" spans="1:7" x14ac:dyDescent="0.35">
      <c r="A68" s="3">
        <v>44115</v>
      </c>
      <c r="B68" s="4">
        <v>117</v>
      </c>
      <c r="C68" s="4">
        <v>111.4</v>
      </c>
      <c r="D68" s="4">
        <v>113.93</v>
      </c>
      <c r="E68" s="4">
        <v>115.74</v>
      </c>
      <c r="F68" s="5">
        <v>-1.5886948126042189E-2</v>
      </c>
      <c r="G68" s="5">
        <v>-9.4100517687663032E-3</v>
      </c>
    </row>
    <row r="69" spans="1:7" x14ac:dyDescent="0.35">
      <c r="A69" s="3">
        <v>44116</v>
      </c>
      <c r="B69" s="4">
        <v>120.7</v>
      </c>
      <c r="C69" s="4">
        <v>112.42</v>
      </c>
      <c r="D69" s="4">
        <v>115.74</v>
      </c>
      <c r="E69" s="4">
        <v>116.83</v>
      </c>
      <c r="F69" s="5">
        <v>-9.4176602730258185E-3</v>
      </c>
      <c r="G69" s="5">
        <v>-3.3496273739882954E-2</v>
      </c>
    </row>
    <row r="70" spans="1:7" x14ac:dyDescent="0.35">
      <c r="A70" s="3">
        <v>44117</v>
      </c>
      <c r="B70" s="4">
        <v>119.03</v>
      </c>
      <c r="C70" s="4">
        <v>111.8</v>
      </c>
      <c r="D70" s="4">
        <v>116.83</v>
      </c>
      <c r="E70" s="4">
        <v>113.98</v>
      </c>
      <c r="F70" s="5">
        <v>2.4394419241633103E-2</v>
      </c>
      <c r="G70" s="5">
        <v>1.421519216355227E-2</v>
      </c>
    </row>
    <row r="71" spans="1:7" x14ac:dyDescent="0.35">
      <c r="A71" s="3">
        <v>44118</v>
      </c>
      <c r="B71" s="4">
        <v>115.37</v>
      </c>
      <c r="C71" s="4">
        <v>105.52</v>
      </c>
      <c r="D71" s="4">
        <v>113.98</v>
      </c>
      <c r="E71" s="4">
        <v>107.31</v>
      </c>
      <c r="F71" s="5">
        <v>5.8519038427794379E-2</v>
      </c>
      <c r="G71" s="5">
        <v>6.0302561547941336E-3</v>
      </c>
    </row>
    <row r="72" spans="1:7" x14ac:dyDescent="0.35">
      <c r="A72" s="3">
        <v>44119</v>
      </c>
      <c r="B72" s="4">
        <v>109.77</v>
      </c>
      <c r="C72" s="4">
        <v>104.77</v>
      </c>
      <c r="D72" s="4">
        <v>107.31</v>
      </c>
      <c r="E72" s="4">
        <v>106.73</v>
      </c>
      <c r="F72" s="5">
        <v>5.4049016867020461E-3</v>
      </c>
      <c r="G72" s="5">
        <v>3.7192371607185359E-3</v>
      </c>
    </row>
    <row r="73" spans="1:7" x14ac:dyDescent="0.35">
      <c r="A73" s="3">
        <v>44120</v>
      </c>
      <c r="B73" s="4">
        <v>107.12</v>
      </c>
      <c r="C73" s="4">
        <v>99.66</v>
      </c>
      <c r="D73" s="4">
        <v>106.73</v>
      </c>
      <c r="E73" s="4">
        <v>103.52</v>
      </c>
      <c r="F73" s="5">
        <v>3.0075892438864549E-2</v>
      </c>
      <c r="G73" s="5">
        <v>3.2088959491660018E-2</v>
      </c>
    </row>
    <row r="74" spans="1:7" x14ac:dyDescent="0.35">
      <c r="A74" s="3">
        <v>44121</v>
      </c>
      <c r="B74" s="4">
        <v>105.78</v>
      </c>
      <c r="C74" s="4">
        <v>101.61</v>
      </c>
      <c r="D74" s="4">
        <v>103.52</v>
      </c>
      <c r="E74" s="4">
        <v>103.14</v>
      </c>
      <c r="F74" s="5">
        <v>3.6707882534775527E-3</v>
      </c>
      <c r="G74" s="5">
        <v>-8.3976147491657827E-3</v>
      </c>
    </row>
    <row r="75" spans="1:7" x14ac:dyDescent="0.35">
      <c r="A75" s="3">
        <v>44122</v>
      </c>
      <c r="B75" s="4">
        <v>107.9</v>
      </c>
      <c r="C75" s="4">
        <v>102.66</v>
      </c>
      <c r="D75" s="4">
        <v>103.14</v>
      </c>
      <c r="E75" s="4">
        <v>104.89</v>
      </c>
      <c r="F75" s="5">
        <v>-1.6967229009113849E-2</v>
      </c>
      <c r="G75" s="5">
        <v>-2.6556354265563575E-2</v>
      </c>
    </row>
    <row r="76" spans="1:7" x14ac:dyDescent="0.35">
      <c r="A76" s="3">
        <v>44123</v>
      </c>
      <c r="B76" s="4">
        <v>105.85</v>
      </c>
      <c r="C76" s="4">
        <v>101.56</v>
      </c>
      <c r="D76" s="4">
        <v>104.89</v>
      </c>
      <c r="E76" s="4">
        <v>102.84</v>
      </c>
      <c r="F76" s="5">
        <v>1.9544284488511754E-2</v>
      </c>
      <c r="G76" s="5">
        <v>-2.5631540006343378E-3</v>
      </c>
    </row>
    <row r="77" spans="1:7" x14ac:dyDescent="0.35">
      <c r="A77" s="3">
        <v>44124</v>
      </c>
      <c r="B77" s="4">
        <v>102.97</v>
      </c>
      <c r="C77" s="4">
        <v>92.85</v>
      </c>
      <c r="D77" s="4">
        <v>102.84</v>
      </c>
      <c r="E77" s="4">
        <v>94.81</v>
      </c>
      <c r="F77" s="5">
        <v>7.8082458187475723E-2</v>
      </c>
      <c r="G77" s="5">
        <v>2.8122611422998878E-2</v>
      </c>
    </row>
    <row r="78" spans="1:7" x14ac:dyDescent="0.35">
      <c r="A78" s="3">
        <v>44125</v>
      </c>
      <c r="B78" s="4">
        <v>99.96</v>
      </c>
      <c r="C78" s="4">
        <v>92.79</v>
      </c>
      <c r="D78" s="4">
        <v>94.81</v>
      </c>
      <c r="E78" s="4">
        <v>95.57</v>
      </c>
      <c r="F78" s="5">
        <v>-8.0160320641282645E-3</v>
      </c>
      <c r="G78" s="5">
        <v>-6.1615230243531993E-2</v>
      </c>
    </row>
    <row r="79" spans="1:7" x14ac:dyDescent="0.35">
      <c r="A79" s="3">
        <v>44126</v>
      </c>
      <c r="B79" s="4">
        <v>102.98</v>
      </c>
      <c r="C79" s="4">
        <v>95.45</v>
      </c>
      <c r="D79" s="4">
        <v>95.57</v>
      </c>
      <c r="E79" s="4">
        <v>102.49</v>
      </c>
      <c r="F79" s="5">
        <v>-7.2407659307313965E-2</v>
      </c>
      <c r="G79" s="5">
        <v>-5.8856588157155221E-2</v>
      </c>
    </row>
    <row r="80" spans="1:7" x14ac:dyDescent="0.35">
      <c r="A80" s="3">
        <v>44127</v>
      </c>
      <c r="B80" s="4">
        <v>106.51</v>
      </c>
      <c r="C80" s="4">
        <v>99.55</v>
      </c>
      <c r="D80" s="4">
        <v>102.49</v>
      </c>
      <c r="E80" s="4">
        <v>103.18</v>
      </c>
      <c r="F80" s="5">
        <v>-6.7323641330863104E-3</v>
      </c>
      <c r="G80" s="5">
        <v>1.189384800965021E-2</v>
      </c>
    </row>
    <row r="81" spans="1:7" x14ac:dyDescent="0.35">
      <c r="A81" s="3">
        <v>44128</v>
      </c>
      <c r="B81" s="4">
        <v>108.09</v>
      </c>
      <c r="C81" s="4">
        <v>102.91</v>
      </c>
      <c r="D81" s="4">
        <v>102.94</v>
      </c>
      <c r="E81" s="4">
        <v>105.39</v>
      </c>
      <c r="F81" s="5">
        <v>-2.141887962783473E-2</v>
      </c>
      <c r="G81" s="5">
        <v>-7.275923529555417E-3</v>
      </c>
    </row>
    <row r="82" spans="1:7" x14ac:dyDescent="0.35">
      <c r="A82" s="3">
        <v>44129</v>
      </c>
      <c r="B82" s="4">
        <v>105.73</v>
      </c>
      <c r="C82" s="4">
        <v>101.38</v>
      </c>
      <c r="D82" s="4">
        <v>105.39</v>
      </c>
      <c r="E82" s="4">
        <v>101.47</v>
      </c>
      <c r="F82" s="5">
        <v>3.719517980833098E-2</v>
      </c>
      <c r="G82" s="5">
        <v>1.5004241910071547E-2</v>
      </c>
    </row>
    <row r="83" spans="1:7" x14ac:dyDescent="0.35">
      <c r="A83" s="3">
        <v>44130</v>
      </c>
      <c r="B83" s="4">
        <v>104.51</v>
      </c>
      <c r="C83" s="4">
        <v>97.99</v>
      </c>
      <c r="D83" s="4">
        <v>101.34</v>
      </c>
      <c r="E83" s="4">
        <v>100.18</v>
      </c>
      <c r="F83" s="5">
        <v>1.2713117177490796E-2</v>
      </c>
      <c r="G83" s="5">
        <v>3.2606555763362577E-2</v>
      </c>
    </row>
    <row r="84" spans="1:7" x14ac:dyDescent="0.35">
      <c r="A84" s="3">
        <v>44131</v>
      </c>
      <c r="B84" s="4">
        <v>113.76</v>
      </c>
      <c r="C84" s="4">
        <v>99.69</v>
      </c>
      <c r="D84" s="4">
        <v>100.18</v>
      </c>
      <c r="E84" s="4">
        <v>109.06</v>
      </c>
      <c r="F84" s="5">
        <v>-8.8640447195048822E-2</v>
      </c>
      <c r="G84" s="5">
        <v>-2.7040777390552329E-2</v>
      </c>
    </row>
    <row r="85" spans="1:7" x14ac:dyDescent="0.35">
      <c r="A85" s="3">
        <v>44132</v>
      </c>
      <c r="B85" s="4">
        <v>120.19</v>
      </c>
      <c r="C85" s="4">
        <v>104.89</v>
      </c>
      <c r="D85" s="4">
        <v>109.06</v>
      </c>
      <c r="E85" s="4">
        <v>107.96</v>
      </c>
      <c r="F85" s="5">
        <v>1.0086191087474883E-2</v>
      </c>
      <c r="G85" s="5">
        <v>3.7078317729231758E-2</v>
      </c>
    </row>
    <row r="86" spans="1:7" x14ac:dyDescent="0.35">
      <c r="A86" s="3">
        <v>44133</v>
      </c>
      <c r="B86" s="4">
        <v>111.79</v>
      </c>
      <c r="C86" s="4">
        <v>94.21</v>
      </c>
      <c r="D86" s="4">
        <v>107.96</v>
      </c>
      <c r="E86" s="4">
        <v>97.05</v>
      </c>
      <c r="F86" s="5">
        <v>0.1010559466469062</v>
      </c>
      <c r="G86" s="5">
        <v>3.163824369164181E-3</v>
      </c>
    </row>
    <row r="87" spans="1:7" x14ac:dyDescent="0.35">
      <c r="A87" s="3">
        <v>44134</v>
      </c>
      <c r="B87" s="4">
        <v>98.94</v>
      </c>
      <c r="C87" s="4">
        <v>88.49</v>
      </c>
      <c r="D87" s="4">
        <v>97.05</v>
      </c>
      <c r="E87" s="4">
        <v>92.22</v>
      </c>
      <c r="F87" s="5">
        <v>4.9768160741885614E-2</v>
      </c>
      <c r="G87" s="5">
        <v>1.2334210662125256E-2</v>
      </c>
    </row>
    <row r="88" spans="1:7" x14ac:dyDescent="0.35">
      <c r="A88" s="3">
        <v>44135</v>
      </c>
      <c r="B88" s="4">
        <v>95.14</v>
      </c>
      <c r="C88" s="4">
        <v>89.06</v>
      </c>
      <c r="D88" s="4">
        <v>92.22</v>
      </c>
      <c r="E88" s="4">
        <v>90.88</v>
      </c>
      <c r="F88" s="5">
        <v>1.4530470613749791E-2</v>
      </c>
      <c r="G88" s="5">
        <v>-1.0476538823283477E-2</v>
      </c>
    </row>
    <row r="89" spans="1:7" x14ac:dyDescent="0.35">
      <c r="A89" s="3">
        <v>44136</v>
      </c>
      <c r="B89" s="4">
        <v>96.16</v>
      </c>
      <c r="C89" s="4">
        <v>89.52</v>
      </c>
      <c r="D89" s="4">
        <v>90.88</v>
      </c>
      <c r="E89" s="4">
        <v>94.03</v>
      </c>
      <c r="F89" s="5">
        <v>-3.4661091549295753E-2</v>
      </c>
      <c r="G89" s="5">
        <v>-2.5803449078263707E-2</v>
      </c>
    </row>
    <row r="90" spans="1:7" x14ac:dyDescent="0.35">
      <c r="A90" s="3">
        <v>44137</v>
      </c>
      <c r="B90" s="4">
        <v>98.98</v>
      </c>
      <c r="C90" s="4">
        <v>90.38</v>
      </c>
      <c r="D90" s="4">
        <v>94.03</v>
      </c>
      <c r="E90" s="4">
        <v>91.17</v>
      </c>
      <c r="F90" s="5">
        <v>3.0415824736786168E-2</v>
      </c>
      <c r="G90" s="5">
        <v>3.3119092627599156E-2</v>
      </c>
    </row>
    <row r="91" spans="1:7" x14ac:dyDescent="0.35">
      <c r="A91" s="3">
        <v>44138</v>
      </c>
      <c r="B91" s="4">
        <v>91.17</v>
      </c>
      <c r="C91" s="4">
        <v>80.84</v>
      </c>
      <c r="D91" s="4">
        <v>91.17</v>
      </c>
      <c r="E91" s="4">
        <v>87.57</v>
      </c>
      <c r="F91" s="5">
        <v>3.9486673247778992E-2</v>
      </c>
      <c r="G91" s="5">
        <v>-1.191314095044449E-2</v>
      </c>
    </row>
    <row r="92" spans="1:7" x14ac:dyDescent="0.35">
      <c r="A92" s="3">
        <v>44139</v>
      </c>
      <c r="B92" s="4">
        <v>87.73</v>
      </c>
      <c r="C92" s="4">
        <v>87.51</v>
      </c>
      <c r="D92" s="4">
        <v>87.57</v>
      </c>
      <c r="E92" s="4">
        <v>87.51</v>
      </c>
      <c r="F92" s="5">
        <v>6.8516615279190507E-4</v>
      </c>
      <c r="G92" s="5">
        <v>-1.5456746870001759E-4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72BB-9B99-4B09-8BEB-3D8320818DCC}">
  <sheetPr codeName="Sheet12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0.23860000000000001</v>
      </c>
      <c r="C2" s="4">
        <v>0.21290000000000001</v>
      </c>
      <c r="D2" s="4">
        <v>0.22459999999999999</v>
      </c>
      <c r="E2" s="4">
        <v>0.22989999999999999</v>
      </c>
    </row>
    <row r="3" spans="1:7" x14ac:dyDescent="0.35">
      <c r="A3" s="3">
        <v>44050</v>
      </c>
      <c r="B3" s="4">
        <v>0.2331</v>
      </c>
      <c r="C3" s="4">
        <v>0.21560000000000001</v>
      </c>
      <c r="D3" s="4">
        <v>0.22989999999999999</v>
      </c>
      <c r="E3" s="4">
        <v>0.22770000000000001</v>
      </c>
      <c r="F3" s="5">
        <v>9.5693779904305609E-3</v>
      </c>
      <c r="G3" s="5">
        <v>3.9160591332523365E-2</v>
      </c>
    </row>
    <row r="4" spans="1:7" x14ac:dyDescent="0.35">
      <c r="A4" s="3">
        <v>44051</v>
      </c>
      <c r="B4" s="4">
        <v>0.2417</v>
      </c>
      <c r="C4" s="4">
        <v>0.22020000000000001</v>
      </c>
      <c r="D4" s="4">
        <v>0.22770000000000001</v>
      </c>
      <c r="E4" s="4">
        <v>0.22020000000000001</v>
      </c>
      <c r="F4" s="5">
        <v>3.2938076416337281E-2</v>
      </c>
      <c r="G4" s="5">
        <v>-4.739573728166091E-2</v>
      </c>
    </row>
    <row r="5" spans="1:7" x14ac:dyDescent="0.35">
      <c r="A5" s="3">
        <v>44052</v>
      </c>
      <c r="B5" s="4">
        <v>0.2326</v>
      </c>
      <c r="C5" s="4">
        <v>0.21229999999999999</v>
      </c>
      <c r="D5" s="4">
        <v>0.22020000000000001</v>
      </c>
      <c r="E5" s="4">
        <v>0.22320000000000001</v>
      </c>
      <c r="F5" s="5">
        <v>-1.3623978201634968E-2</v>
      </c>
      <c r="G5" s="5">
        <v>1.8311701378408318E-2</v>
      </c>
    </row>
    <row r="6" spans="1:7" x14ac:dyDescent="0.35">
      <c r="A6" s="3">
        <v>44053</v>
      </c>
      <c r="B6" s="4">
        <v>0.29970000000000002</v>
      </c>
      <c r="C6" s="4">
        <v>0.2225</v>
      </c>
      <c r="D6" s="4">
        <v>0.22320000000000001</v>
      </c>
      <c r="E6" s="4">
        <v>0.27310000000000001</v>
      </c>
      <c r="F6" s="5">
        <v>-0.22356630824372759</v>
      </c>
      <c r="G6" s="5">
        <v>-1.3913088039356314E-2</v>
      </c>
    </row>
    <row r="7" spans="1:7" x14ac:dyDescent="0.35">
      <c r="A7" s="3">
        <v>44054</v>
      </c>
      <c r="B7" s="4">
        <v>0.26369999999999999</v>
      </c>
      <c r="C7" s="4">
        <v>0.2349</v>
      </c>
      <c r="D7" s="4">
        <v>0.27310000000000001</v>
      </c>
      <c r="E7" s="4">
        <v>0.2535</v>
      </c>
      <c r="F7" s="5">
        <v>7.1768582936653225E-2</v>
      </c>
      <c r="G7" s="5">
        <v>4.2379520355816047E-2</v>
      </c>
    </row>
    <row r="8" spans="1:7" x14ac:dyDescent="0.35">
      <c r="A8" s="3">
        <v>44055</v>
      </c>
      <c r="B8" s="4">
        <v>0.31900000000000001</v>
      </c>
      <c r="C8" s="4">
        <v>0.25750000000000001</v>
      </c>
      <c r="D8" s="4">
        <v>0.2535</v>
      </c>
      <c r="E8" s="4">
        <v>0.314</v>
      </c>
      <c r="F8" s="5">
        <v>-0.23865877712031547</v>
      </c>
      <c r="G8" s="5">
        <v>-2.1771256663323912E-2</v>
      </c>
    </row>
    <row r="9" spans="1:7" x14ac:dyDescent="0.35">
      <c r="A9" s="3">
        <v>44056</v>
      </c>
      <c r="B9" s="4">
        <v>0.34549999999999997</v>
      </c>
      <c r="C9" s="4">
        <v>0.26729999999999998</v>
      </c>
      <c r="D9" s="4">
        <v>0.314</v>
      </c>
      <c r="E9" s="4">
        <v>0.27410000000000001</v>
      </c>
      <c r="F9" s="5">
        <v>0.12707006369426743</v>
      </c>
      <c r="G9" s="5">
        <v>-9.7574834060797144E-2</v>
      </c>
    </row>
    <row r="10" spans="1:7" x14ac:dyDescent="0.35">
      <c r="A10" s="3">
        <v>44057</v>
      </c>
      <c r="B10" s="4">
        <v>0.3039</v>
      </c>
      <c r="C10" s="4">
        <v>0.27539999999999998</v>
      </c>
      <c r="D10" s="4">
        <v>0.27410000000000001</v>
      </c>
      <c r="E10" s="4">
        <v>0.29949999999999999</v>
      </c>
      <c r="F10" s="5">
        <v>-9.2666909886902404E-2</v>
      </c>
      <c r="G10" s="5">
        <v>-3.1861072546297331E-2</v>
      </c>
    </row>
    <row r="11" spans="1:7" x14ac:dyDescent="0.35">
      <c r="A11" s="3">
        <v>44058</v>
      </c>
      <c r="B11" s="4">
        <v>0.3483</v>
      </c>
      <c r="C11" s="4">
        <v>0.28860000000000002</v>
      </c>
      <c r="D11" s="4">
        <v>0.29949999999999999</v>
      </c>
      <c r="E11" s="4">
        <v>0.33229999999999998</v>
      </c>
      <c r="F11" s="5">
        <v>-0.10951585976627709</v>
      </c>
      <c r="G11" s="5">
        <v>1.3545871245809638E-2</v>
      </c>
    </row>
    <row r="12" spans="1:7" x14ac:dyDescent="0.35">
      <c r="A12" s="3">
        <v>44059</v>
      </c>
      <c r="B12" s="4">
        <v>0.41</v>
      </c>
      <c r="C12" s="4">
        <v>0.3276</v>
      </c>
      <c r="D12" s="4">
        <v>0.33229999999999998</v>
      </c>
      <c r="E12" s="4">
        <v>0.39960000000000001</v>
      </c>
      <c r="F12" s="5">
        <v>-0.20252783629250692</v>
      </c>
      <c r="G12" s="5">
        <v>-2.9590586494672166E-3</v>
      </c>
    </row>
    <row r="13" spans="1:7" x14ac:dyDescent="0.35">
      <c r="A13" s="3">
        <v>44060</v>
      </c>
      <c r="B13" s="4">
        <v>0.4955</v>
      </c>
      <c r="C13" s="4">
        <v>0.39369999999999999</v>
      </c>
      <c r="D13" s="4">
        <v>0.39960000000000001</v>
      </c>
      <c r="E13" s="4">
        <v>0.47089999999999999</v>
      </c>
      <c r="F13" s="5">
        <v>-0.17842842842842832</v>
      </c>
      <c r="G13" s="5">
        <v>5.9698052322232353E-3</v>
      </c>
    </row>
    <row r="14" spans="1:7" x14ac:dyDescent="0.35">
      <c r="A14" s="3">
        <v>44061</v>
      </c>
      <c r="B14" s="4">
        <v>0.56559999999999999</v>
      </c>
      <c r="C14" s="4">
        <v>0.44600000000000001</v>
      </c>
      <c r="D14" s="4">
        <v>0.47089999999999999</v>
      </c>
      <c r="E14" s="4">
        <v>0.53139999999999998</v>
      </c>
      <c r="F14" s="5">
        <v>-0.12847738373327666</v>
      </c>
      <c r="G14" s="5">
        <v>2.1031396373417444E-2</v>
      </c>
    </row>
    <row r="15" spans="1:7" x14ac:dyDescent="0.35">
      <c r="A15" s="3">
        <v>44062</v>
      </c>
      <c r="B15" s="4">
        <v>0.54239999999999999</v>
      </c>
      <c r="C15" s="4">
        <v>0.42380000000000001</v>
      </c>
      <c r="D15" s="4">
        <v>0.53139999999999998</v>
      </c>
      <c r="E15" s="4">
        <v>0.49309999999999998</v>
      </c>
      <c r="F15" s="5">
        <v>7.2073767406849787E-2</v>
      </c>
      <c r="G15" s="5">
        <v>3.3965750017764473E-2</v>
      </c>
    </row>
    <row r="16" spans="1:7" x14ac:dyDescent="0.35">
      <c r="A16" s="3">
        <v>44063</v>
      </c>
      <c r="B16" s="4">
        <v>0.50960000000000005</v>
      </c>
      <c r="C16" s="4">
        <v>0.42980000000000002</v>
      </c>
      <c r="D16" s="4">
        <v>0.49309999999999998</v>
      </c>
      <c r="E16" s="4">
        <v>0.44519999999999998</v>
      </c>
      <c r="F16" s="5">
        <v>9.7140539444331764E-2</v>
      </c>
      <c r="G16" s="5">
        <v>-2.0080912100036707E-2</v>
      </c>
    </row>
    <row r="17" spans="1:7" x14ac:dyDescent="0.35">
      <c r="A17" s="3">
        <v>44064</v>
      </c>
      <c r="B17" s="4">
        <v>0.45860000000000001</v>
      </c>
      <c r="C17" s="4">
        <v>0.38179999999999997</v>
      </c>
      <c r="D17" s="4">
        <v>0.44519999999999998</v>
      </c>
      <c r="E17" s="4">
        <v>0.42099999999999999</v>
      </c>
      <c r="F17" s="5">
        <v>5.4357592093441154E-2</v>
      </c>
      <c r="G17" s="5">
        <v>6.7445437938659758E-2</v>
      </c>
    </row>
    <row r="18" spans="1:7" x14ac:dyDescent="0.35">
      <c r="A18" s="3">
        <v>44065</v>
      </c>
      <c r="B18" s="4">
        <v>0.47460000000000002</v>
      </c>
      <c r="C18" s="4">
        <v>0.40849999999999997</v>
      </c>
      <c r="D18" s="4">
        <v>0.42099999999999999</v>
      </c>
      <c r="E18" s="4">
        <v>0.4587</v>
      </c>
      <c r="F18" s="5">
        <v>-8.9548693586698258E-2</v>
      </c>
      <c r="G18" s="5">
        <v>-1.9279344296097678E-2</v>
      </c>
    </row>
    <row r="19" spans="1:7" x14ac:dyDescent="0.35">
      <c r="A19" s="3">
        <v>44066</v>
      </c>
      <c r="B19" s="4">
        <v>0.48370000000000002</v>
      </c>
      <c r="C19" s="4">
        <v>0.43099999999999999</v>
      </c>
      <c r="D19" s="4">
        <v>0.4587</v>
      </c>
      <c r="E19" s="4">
        <v>0.43840000000000001</v>
      </c>
      <c r="F19" s="5">
        <v>4.4255504687159331E-2</v>
      </c>
      <c r="G19" s="5">
        <v>1.1986041571840245E-2</v>
      </c>
    </row>
    <row r="20" spans="1:7" x14ac:dyDescent="0.35">
      <c r="A20" s="3">
        <v>44067</v>
      </c>
      <c r="B20" s="4">
        <v>0.47049999999999997</v>
      </c>
      <c r="C20" s="4">
        <v>0.42720000000000002</v>
      </c>
      <c r="D20" s="4">
        <v>0.43840000000000001</v>
      </c>
      <c r="E20" s="4">
        <v>0.44190000000000002</v>
      </c>
      <c r="F20" s="5">
        <v>-7.9835766423357324E-3</v>
      </c>
      <c r="G20" s="5">
        <v>-4.4302825552825498E-2</v>
      </c>
    </row>
    <row r="21" spans="1:7" x14ac:dyDescent="0.35">
      <c r="A21" s="3">
        <v>44068</v>
      </c>
      <c r="B21" s="4">
        <v>0.42049999999999998</v>
      </c>
      <c r="C21" s="4">
        <v>0.38219999999999998</v>
      </c>
      <c r="D21" s="4">
        <v>0.44190000000000002</v>
      </c>
      <c r="E21" s="4">
        <v>0.40670000000000001</v>
      </c>
      <c r="F21" s="5">
        <v>7.9656030776193765E-2</v>
      </c>
      <c r="G21" s="5">
        <v>6.051025659877951E-2</v>
      </c>
    </row>
    <row r="22" spans="1:7" x14ac:dyDescent="0.35">
      <c r="A22" s="3">
        <v>44069</v>
      </c>
      <c r="B22" s="4">
        <v>0.4783</v>
      </c>
      <c r="C22" s="4">
        <v>0.40029999999999999</v>
      </c>
      <c r="D22" s="4">
        <v>0.40670000000000001</v>
      </c>
      <c r="E22" s="4">
        <v>0.4551</v>
      </c>
      <c r="F22" s="5">
        <v>-0.11900663880009832</v>
      </c>
      <c r="G22" s="5">
        <v>-6.9911827620390277E-3</v>
      </c>
    </row>
    <row r="23" spans="1:7" x14ac:dyDescent="0.35">
      <c r="A23" s="3">
        <v>44070</v>
      </c>
      <c r="B23" s="4">
        <v>0.47249999999999998</v>
      </c>
      <c r="C23" s="4">
        <v>0.4012</v>
      </c>
      <c r="D23" s="4">
        <v>0.4551</v>
      </c>
      <c r="E23" s="4">
        <v>0.42070000000000002</v>
      </c>
      <c r="F23" s="5">
        <v>7.5587782904856016E-2</v>
      </c>
      <c r="G23" s="5">
        <v>7.8493342313868952E-3</v>
      </c>
    </row>
    <row r="24" spans="1:7" x14ac:dyDescent="0.35">
      <c r="A24" s="3">
        <v>44071</v>
      </c>
      <c r="B24" s="4">
        <v>0.4592</v>
      </c>
      <c r="C24" s="4">
        <v>0.4224</v>
      </c>
      <c r="D24" s="4">
        <v>0.42070000000000002</v>
      </c>
      <c r="E24" s="4">
        <v>0.44259999999999999</v>
      </c>
      <c r="F24" s="5">
        <v>-5.2056096981221822E-2</v>
      </c>
      <c r="G24" s="5">
        <v>-3.2768479594767586E-2</v>
      </c>
    </row>
    <row r="25" spans="1:7" x14ac:dyDescent="0.35">
      <c r="A25" s="3">
        <v>44072</v>
      </c>
      <c r="B25" s="4">
        <v>0.44700000000000001</v>
      </c>
      <c r="C25" s="4">
        <v>0.41589999999999999</v>
      </c>
      <c r="D25" s="4">
        <v>0.44259999999999999</v>
      </c>
      <c r="E25" s="4">
        <v>0.42470000000000002</v>
      </c>
      <c r="F25" s="5">
        <v>4.0442837776773599E-2</v>
      </c>
      <c r="G25" s="5">
        <v>-8.6211255498811479E-3</v>
      </c>
    </row>
    <row r="26" spans="1:7" x14ac:dyDescent="0.35">
      <c r="A26" s="3">
        <v>44073</v>
      </c>
      <c r="B26" s="4">
        <v>0.48870000000000002</v>
      </c>
      <c r="C26" s="4">
        <v>0.43719999999999998</v>
      </c>
      <c r="D26" s="4">
        <v>0.42470000000000002</v>
      </c>
      <c r="E26" s="4">
        <v>0.44490000000000002</v>
      </c>
      <c r="F26" s="5">
        <v>-4.7562985636920185E-2</v>
      </c>
      <c r="G26" s="5">
        <v>-7.5773906504574606E-2</v>
      </c>
    </row>
    <row r="27" spans="1:7" x14ac:dyDescent="0.35">
      <c r="A27" s="3">
        <v>44074</v>
      </c>
      <c r="B27" s="4">
        <v>0.54910000000000003</v>
      </c>
      <c r="C27" s="4">
        <v>0.4471</v>
      </c>
      <c r="D27" s="4">
        <v>0.44490000000000002</v>
      </c>
      <c r="E27" s="4">
        <v>0.5383</v>
      </c>
      <c r="F27" s="5">
        <v>-0.20993481681276682</v>
      </c>
      <c r="G27" s="5">
        <v>-1.1556922503378475E-2</v>
      </c>
    </row>
    <row r="28" spans="1:7" x14ac:dyDescent="0.35">
      <c r="A28" s="3">
        <v>44075</v>
      </c>
      <c r="B28" s="4">
        <v>0.6552</v>
      </c>
      <c r="C28" s="4">
        <v>0.50009999999999999</v>
      </c>
      <c r="D28" s="4">
        <v>0.5383</v>
      </c>
      <c r="E28" s="4">
        <v>0.57620000000000005</v>
      </c>
      <c r="F28" s="5">
        <v>-7.0406836336615264E-2</v>
      </c>
      <c r="G28" s="5">
        <v>-9.6397475468742888E-2</v>
      </c>
    </row>
    <row r="29" spans="1:7" x14ac:dyDescent="0.35">
      <c r="A29" s="3">
        <v>44076</v>
      </c>
      <c r="B29" s="4">
        <v>0.60040000000000004</v>
      </c>
      <c r="C29" s="4">
        <v>0.4733</v>
      </c>
      <c r="D29" s="4">
        <v>0.57620000000000005</v>
      </c>
      <c r="E29" s="4">
        <v>0.50670000000000004</v>
      </c>
      <c r="F29" s="5">
        <v>0.12061784102742101</v>
      </c>
      <c r="G29" s="5">
        <v>7.5967982520641186E-2</v>
      </c>
    </row>
    <row r="30" spans="1:7" x14ac:dyDescent="0.35">
      <c r="A30" s="3">
        <v>44077</v>
      </c>
      <c r="B30" s="4">
        <v>0.46429999999999999</v>
      </c>
      <c r="C30" s="4">
        <v>0.3619</v>
      </c>
      <c r="D30" s="4">
        <v>0.50670000000000004</v>
      </c>
      <c r="E30" s="4">
        <v>0.3619</v>
      </c>
      <c r="F30" s="5">
        <v>0.28577067298204073</v>
      </c>
      <c r="G30" s="5">
        <v>0.1304367596571403</v>
      </c>
    </row>
    <row r="31" spans="1:7" x14ac:dyDescent="0.35">
      <c r="A31" s="3">
        <v>44078</v>
      </c>
      <c r="B31" s="4">
        <v>0.3841</v>
      </c>
      <c r="C31" s="4">
        <v>0.33110000000000001</v>
      </c>
      <c r="D31" s="4">
        <v>0.3619</v>
      </c>
      <c r="E31" s="4">
        <v>0.37809999999999999</v>
      </c>
      <c r="F31" s="5">
        <v>-4.4763746891406386E-2</v>
      </c>
      <c r="G31" s="5">
        <v>-9.0205511687497797E-3</v>
      </c>
    </row>
    <row r="32" spans="1:7" x14ac:dyDescent="0.35">
      <c r="A32" s="3">
        <v>44079</v>
      </c>
      <c r="B32" s="4">
        <v>0.34899999999999998</v>
      </c>
      <c r="C32" s="4">
        <v>0.25369999999999998</v>
      </c>
      <c r="D32" s="4">
        <v>0.37809999999999999</v>
      </c>
      <c r="E32" s="4">
        <v>0.2838</v>
      </c>
      <c r="F32" s="5">
        <v>0.24940491933350961</v>
      </c>
      <c r="G32" s="5">
        <v>0.13130004405172191</v>
      </c>
    </row>
    <row r="33" spans="1:7" x14ac:dyDescent="0.35">
      <c r="A33" s="3">
        <v>44080</v>
      </c>
      <c r="B33" s="4">
        <v>0.38440000000000002</v>
      </c>
      <c r="C33" s="4">
        <v>0.24490000000000001</v>
      </c>
      <c r="D33" s="4">
        <v>0.2838</v>
      </c>
      <c r="E33" s="4">
        <v>0.30640000000000001</v>
      </c>
      <c r="F33" s="5">
        <v>-7.9633544749823759E-2</v>
      </c>
      <c r="G33" s="5">
        <v>-5.2052261066698469E-2</v>
      </c>
    </row>
    <row r="34" spans="1:7" x14ac:dyDescent="0.35">
      <c r="A34" s="3">
        <v>44081</v>
      </c>
      <c r="B34" s="4">
        <v>0.31590000000000001</v>
      </c>
      <c r="C34" s="4">
        <v>0.27239999999999998</v>
      </c>
      <c r="D34" s="4">
        <v>0.30640000000000001</v>
      </c>
      <c r="E34" s="4">
        <v>0.29749999999999999</v>
      </c>
      <c r="F34" s="5">
        <v>2.9046997389034046E-2</v>
      </c>
      <c r="G34" s="5">
        <v>-2.8637046698234414E-3</v>
      </c>
    </row>
    <row r="35" spans="1:7" x14ac:dyDescent="0.35">
      <c r="A35" s="3">
        <v>44082</v>
      </c>
      <c r="B35" s="4">
        <v>0.28689999999999999</v>
      </c>
      <c r="C35" s="4">
        <v>0.26569999999999999</v>
      </c>
      <c r="D35" s="4">
        <v>0.29749999999999999</v>
      </c>
      <c r="E35" s="4">
        <v>0.27579999999999999</v>
      </c>
      <c r="F35" s="5">
        <v>7.2941176470588176E-2</v>
      </c>
      <c r="G35" s="5">
        <v>4.5942889454339886E-2</v>
      </c>
    </row>
    <row r="36" spans="1:7" x14ac:dyDescent="0.35">
      <c r="A36" s="3">
        <v>44083</v>
      </c>
      <c r="B36" s="4">
        <v>0.39400000000000002</v>
      </c>
      <c r="C36" s="4">
        <v>0.2772</v>
      </c>
      <c r="D36" s="4">
        <v>0.27579999999999999</v>
      </c>
      <c r="E36" s="4">
        <v>0.31990000000000002</v>
      </c>
      <c r="F36" s="5">
        <v>-0.15989847715736061</v>
      </c>
      <c r="G36" s="5">
        <v>-4.0598607201066894E-2</v>
      </c>
    </row>
    <row r="37" spans="1:7" x14ac:dyDescent="0.35">
      <c r="A37" s="3">
        <v>44084</v>
      </c>
      <c r="B37" s="4">
        <v>0.36709999999999998</v>
      </c>
      <c r="C37" s="4">
        <v>0.31240000000000001</v>
      </c>
      <c r="D37" s="4">
        <v>0.31990000000000002</v>
      </c>
      <c r="E37" s="4">
        <v>0.32279999999999998</v>
      </c>
      <c r="F37" s="5">
        <v>-9.0653329165362173E-3</v>
      </c>
      <c r="G37" s="5">
        <v>-4.8241492239783579E-2</v>
      </c>
    </row>
    <row r="38" spans="1:7" x14ac:dyDescent="0.35">
      <c r="A38" s="3">
        <v>44085</v>
      </c>
      <c r="B38" s="4">
        <v>0.3367</v>
      </c>
      <c r="C38" s="4">
        <v>0.311</v>
      </c>
      <c r="D38" s="4">
        <v>0.32279999999999998</v>
      </c>
      <c r="E38" s="4">
        <v>0.3201</v>
      </c>
      <c r="F38" s="5">
        <v>8.3643122676578807E-3</v>
      </c>
      <c r="G38" s="5">
        <v>-1.6028688635931543E-2</v>
      </c>
    </row>
    <row r="39" spans="1:7" x14ac:dyDescent="0.35">
      <c r="A39" s="3">
        <v>44086</v>
      </c>
      <c r="B39" s="4">
        <v>0.34860000000000002</v>
      </c>
      <c r="C39" s="4">
        <v>0.315</v>
      </c>
      <c r="D39" s="4">
        <v>0.3201</v>
      </c>
      <c r="E39" s="4">
        <v>0.33129999999999998</v>
      </c>
      <c r="F39" s="5">
        <v>-3.4989065916900985E-2</v>
      </c>
      <c r="G39" s="5">
        <v>-3.7567849407738274E-2</v>
      </c>
    </row>
    <row r="40" spans="1:7" x14ac:dyDescent="0.35">
      <c r="A40" s="3">
        <v>44087</v>
      </c>
      <c r="B40" s="4">
        <v>0.37659999999999999</v>
      </c>
      <c r="C40" s="4">
        <v>0.2959</v>
      </c>
      <c r="D40" s="4">
        <v>0.33129999999999998</v>
      </c>
      <c r="E40" s="4">
        <v>0.31680000000000003</v>
      </c>
      <c r="F40" s="5">
        <v>4.3766978569272474E-2</v>
      </c>
      <c r="G40" s="5">
        <v>5.6076693124420318E-2</v>
      </c>
    </row>
    <row r="41" spans="1:7" x14ac:dyDescent="0.35">
      <c r="A41" s="3">
        <v>44088</v>
      </c>
      <c r="B41" s="4">
        <v>0.34289999999999998</v>
      </c>
      <c r="C41" s="4">
        <v>0.3115</v>
      </c>
      <c r="D41" s="4">
        <v>0.31680000000000003</v>
      </c>
      <c r="E41" s="4">
        <v>0.31459999999999999</v>
      </c>
      <c r="F41" s="5">
        <v>6.9444444444445308E-3</v>
      </c>
      <c r="G41" s="5">
        <v>-2.9977066724909962E-2</v>
      </c>
    </row>
    <row r="42" spans="1:7" x14ac:dyDescent="0.35">
      <c r="A42" s="3">
        <v>44089</v>
      </c>
      <c r="B42" s="4">
        <v>0.30740000000000001</v>
      </c>
      <c r="C42" s="4">
        <v>0.27150000000000002</v>
      </c>
      <c r="D42" s="4">
        <v>0.31459999999999999</v>
      </c>
      <c r="E42" s="4">
        <v>0.27700000000000002</v>
      </c>
      <c r="F42" s="5">
        <v>0.11951684678957397</v>
      </c>
      <c r="G42" s="5">
        <v>3.4724062980437842E-2</v>
      </c>
    </row>
    <row r="43" spans="1:7" x14ac:dyDescent="0.35">
      <c r="A43" s="3">
        <v>44090</v>
      </c>
      <c r="B43" s="4">
        <v>0.3165</v>
      </c>
      <c r="C43" s="4">
        <v>0.25080000000000002</v>
      </c>
      <c r="D43" s="4">
        <v>0.27700000000000002</v>
      </c>
      <c r="E43" s="4">
        <v>0.26819999999999999</v>
      </c>
      <c r="F43" s="5">
        <v>3.1768953068592176E-2</v>
      </c>
      <c r="G43" s="5">
        <v>-2.5538224956060951E-3</v>
      </c>
    </row>
    <row r="44" spans="1:7" x14ac:dyDescent="0.35">
      <c r="A44" s="3">
        <v>44091</v>
      </c>
      <c r="B44" s="4">
        <v>0.31259999999999999</v>
      </c>
      <c r="C44" s="4">
        <v>0.24779999999999999</v>
      </c>
      <c r="D44" s="4">
        <v>0.26819999999999999</v>
      </c>
      <c r="E44" s="4">
        <v>0.29870000000000002</v>
      </c>
      <c r="F44" s="5">
        <v>-0.11372110365398957</v>
      </c>
      <c r="G44" s="5">
        <v>-6.6969788271385333E-2</v>
      </c>
    </row>
    <row r="45" spans="1:7" x14ac:dyDescent="0.35">
      <c r="A45" s="3">
        <v>44092</v>
      </c>
      <c r="B45" s="4">
        <v>0.29499999999999998</v>
      </c>
      <c r="C45" s="4">
        <v>0.2424</v>
      </c>
      <c r="D45" s="4">
        <v>0.29870000000000002</v>
      </c>
      <c r="E45" s="4">
        <v>0.24479999999999999</v>
      </c>
      <c r="F45" s="5">
        <v>0.18044861064613338</v>
      </c>
      <c r="G45" s="5">
        <v>1.3015351440160194E-2</v>
      </c>
    </row>
    <row r="46" spans="1:7" x14ac:dyDescent="0.35">
      <c r="A46" s="3">
        <v>44093</v>
      </c>
      <c r="B46" s="4">
        <v>0.24759999999999999</v>
      </c>
      <c r="C46" s="4">
        <v>0.22889999999999999</v>
      </c>
      <c r="D46" s="4">
        <v>0.24479999999999999</v>
      </c>
      <c r="E46" s="4">
        <v>0.24490000000000001</v>
      </c>
      <c r="F46" s="5">
        <v>-4.0849673202614234E-4</v>
      </c>
      <c r="G46" s="5">
        <v>-2.0807865373109191E-3</v>
      </c>
    </row>
    <row r="47" spans="1:7" x14ac:dyDescent="0.35">
      <c r="A47" s="3">
        <v>44094</v>
      </c>
      <c r="B47" s="4">
        <v>0.26200000000000001</v>
      </c>
      <c r="C47" s="4">
        <v>0.22989999999999999</v>
      </c>
      <c r="D47" s="4">
        <v>0.24490000000000001</v>
      </c>
      <c r="E47" s="4">
        <v>0.23400000000000001</v>
      </c>
      <c r="F47" s="5">
        <v>4.4507962433646409E-2</v>
      </c>
      <c r="G47" s="5">
        <v>3.6987048044228699E-2</v>
      </c>
    </row>
    <row r="48" spans="1:7" x14ac:dyDescent="0.35">
      <c r="A48" s="3">
        <v>44095</v>
      </c>
      <c r="B48" s="4">
        <v>0.22420000000000001</v>
      </c>
      <c r="C48" s="4">
        <v>0.19670000000000001</v>
      </c>
      <c r="D48" s="4">
        <v>0.23400000000000001</v>
      </c>
      <c r="E48" s="4">
        <v>0.21160000000000001</v>
      </c>
      <c r="F48" s="5">
        <v>9.5726495726495719E-2</v>
      </c>
      <c r="G48" s="5">
        <v>8.3095250929869025E-2</v>
      </c>
    </row>
    <row r="49" spans="1:7" x14ac:dyDescent="0.35">
      <c r="A49" s="3">
        <v>44096</v>
      </c>
      <c r="B49" s="4">
        <v>0.23100000000000001</v>
      </c>
      <c r="C49" s="4">
        <v>0.19420000000000001</v>
      </c>
      <c r="D49" s="4">
        <v>0.21160000000000001</v>
      </c>
      <c r="E49" s="4">
        <v>0.2114</v>
      </c>
      <c r="F49" s="5">
        <v>9.4517958412099201E-4</v>
      </c>
      <c r="G49" s="5">
        <v>-1.1934507187160159E-2</v>
      </c>
    </row>
    <row r="50" spans="1:7" x14ac:dyDescent="0.35">
      <c r="A50" s="3">
        <v>44097</v>
      </c>
      <c r="B50" s="4">
        <v>0.19850000000000001</v>
      </c>
      <c r="C50" s="4">
        <v>0.16969999999999999</v>
      </c>
      <c r="D50" s="4">
        <v>0.2114</v>
      </c>
      <c r="E50" s="4">
        <v>0.17069999999999999</v>
      </c>
      <c r="F50" s="5">
        <v>0.19252601702932837</v>
      </c>
      <c r="G50" s="5">
        <v>6.989106753812635E-2</v>
      </c>
    </row>
    <row r="51" spans="1:7" x14ac:dyDescent="0.35">
      <c r="A51" s="3">
        <v>44098</v>
      </c>
      <c r="B51" s="4">
        <v>0.20319999999999999</v>
      </c>
      <c r="C51" s="4">
        <v>0.17879999999999999</v>
      </c>
      <c r="D51" s="4">
        <v>0.17069999999999999</v>
      </c>
      <c r="E51" s="4">
        <v>0.19689999999999999</v>
      </c>
      <c r="F51" s="5">
        <v>-0.15348564733450498</v>
      </c>
      <c r="G51" s="5">
        <v>-9.0539991879821313E-2</v>
      </c>
    </row>
    <row r="52" spans="1:7" x14ac:dyDescent="0.35">
      <c r="A52" s="3">
        <v>44099</v>
      </c>
      <c r="B52" s="4">
        <v>0.2404</v>
      </c>
      <c r="C52" s="4">
        <v>0.18870000000000001</v>
      </c>
      <c r="D52" s="4">
        <v>0.19689999999999999</v>
      </c>
      <c r="E52" s="4">
        <v>0.23480000000000001</v>
      </c>
      <c r="F52" s="5">
        <v>-0.19248349415947197</v>
      </c>
      <c r="G52" s="5">
        <v>-8.133340970273073E-3</v>
      </c>
    </row>
    <row r="53" spans="1:7" x14ac:dyDescent="0.35">
      <c r="A53" s="3">
        <v>44100</v>
      </c>
      <c r="B53" s="4">
        <v>0.28439999999999999</v>
      </c>
      <c r="C53" s="4">
        <v>0.23130000000000001</v>
      </c>
      <c r="D53" s="4">
        <v>0.23480000000000001</v>
      </c>
      <c r="E53" s="4">
        <v>0.25540000000000002</v>
      </c>
      <c r="F53" s="5">
        <v>-8.7734241908006938E-2</v>
      </c>
      <c r="G53" s="5">
        <v>-6.2780523833874113E-3</v>
      </c>
    </row>
    <row r="54" spans="1:7" x14ac:dyDescent="0.35">
      <c r="A54" s="3">
        <v>44101</v>
      </c>
      <c r="B54" s="4">
        <v>0.28260000000000002</v>
      </c>
      <c r="C54" s="4">
        <v>0.2311</v>
      </c>
      <c r="D54" s="4">
        <v>0.25540000000000002</v>
      </c>
      <c r="E54" s="4">
        <v>0.24249999999999999</v>
      </c>
      <c r="F54" s="5">
        <v>5.0509005481597535E-2</v>
      </c>
      <c r="G54" s="5">
        <v>-9.8805860599044948E-3</v>
      </c>
    </row>
    <row r="55" spans="1:7" x14ac:dyDescent="0.35">
      <c r="A55" s="3">
        <v>44102</v>
      </c>
      <c r="B55" s="4">
        <v>0.2429</v>
      </c>
      <c r="C55" s="4">
        <v>0.21909999999999999</v>
      </c>
      <c r="D55" s="4">
        <v>0.24249999999999999</v>
      </c>
      <c r="E55" s="4">
        <v>0.22270000000000001</v>
      </c>
      <c r="F55" s="5">
        <v>8.1649484536082451E-2</v>
      </c>
      <c r="G55" s="5">
        <v>1.0398904201492809E-2</v>
      </c>
    </row>
    <row r="56" spans="1:7" x14ac:dyDescent="0.35">
      <c r="A56" s="3">
        <v>44103</v>
      </c>
      <c r="B56" s="4">
        <v>0.24399999999999999</v>
      </c>
      <c r="C56" s="4">
        <v>0.2044</v>
      </c>
      <c r="D56" s="4">
        <v>0.22270000000000001</v>
      </c>
      <c r="E56" s="4">
        <v>0.24329999999999999</v>
      </c>
      <c r="F56" s="5">
        <v>-9.2501122586439166E-2</v>
      </c>
      <c r="G56" s="5">
        <v>-1.6694443659783786E-2</v>
      </c>
    </row>
    <row r="57" spans="1:7" x14ac:dyDescent="0.35">
      <c r="A57" s="3">
        <v>44104</v>
      </c>
      <c r="B57" s="4">
        <v>0.29830000000000001</v>
      </c>
      <c r="C57" s="4">
        <v>0.23860000000000001</v>
      </c>
      <c r="D57" s="4">
        <v>0.24329999999999999</v>
      </c>
      <c r="E57" s="4">
        <v>0.24790000000000001</v>
      </c>
      <c r="F57" s="5">
        <v>-1.8906699547883266E-2</v>
      </c>
      <c r="G57" s="5">
        <v>2.7783951989335254E-4</v>
      </c>
    </row>
    <row r="58" spans="1:7" x14ac:dyDescent="0.35">
      <c r="A58" s="3">
        <v>44105</v>
      </c>
      <c r="B58" s="4">
        <v>0.38519999999999999</v>
      </c>
      <c r="C58" s="4">
        <v>0.2316</v>
      </c>
      <c r="D58" s="4">
        <v>0.24790000000000001</v>
      </c>
      <c r="E58" s="4">
        <v>0.28110000000000002</v>
      </c>
      <c r="F58" s="5">
        <v>-0.13392496974586532</v>
      </c>
      <c r="G58" s="5">
        <v>1.8370296259240804E-2</v>
      </c>
    </row>
    <row r="59" spans="1:7" x14ac:dyDescent="0.35">
      <c r="A59" s="3">
        <v>44106</v>
      </c>
      <c r="B59" s="4">
        <v>0.33129999999999998</v>
      </c>
      <c r="C59" s="4">
        <v>0.2276</v>
      </c>
      <c r="D59" s="4">
        <v>0.28110000000000002</v>
      </c>
      <c r="E59" s="4">
        <v>0.26840000000000003</v>
      </c>
      <c r="F59" s="5">
        <v>4.5179651369619322E-2</v>
      </c>
      <c r="G59" s="5">
        <v>2.0894085671413598E-2</v>
      </c>
    </row>
    <row r="60" spans="1:7" x14ac:dyDescent="0.35">
      <c r="A60" s="3">
        <v>44107</v>
      </c>
      <c r="B60" s="4">
        <v>0.28710000000000002</v>
      </c>
      <c r="C60" s="4">
        <v>0.25280000000000002</v>
      </c>
      <c r="D60" s="4">
        <v>0.26840000000000003</v>
      </c>
      <c r="E60" s="4">
        <v>0.27839999999999998</v>
      </c>
      <c r="F60" s="5">
        <v>-3.7257824143069884E-2</v>
      </c>
      <c r="G60" s="5">
        <v>-1.4168811265651282E-3</v>
      </c>
    </row>
    <row r="61" spans="1:7" x14ac:dyDescent="0.35">
      <c r="A61" s="3">
        <v>44108</v>
      </c>
      <c r="B61" s="4">
        <v>0.33289999999999997</v>
      </c>
      <c r="C61" s="4">
        <v>0.26800000000000002</v>
      </c>
      <c r="D61" s="4">
        <v>0.27839999999999998</v>
      </c>
      <c r="E61" s="4">
        <v>0.2772</v>
      </c>
      <c r="F61" s="5">
        <v>4.3103448275860767E-3</v>
      </c>
      <c r="G61" s="5">
        <v>-1.816239316239332E-2</v>
      </c>
    </row>
    <row r="62" spans="1:7" x14ac:dyDescent="0.35">
      <c r="A62" s="3">
        <v>44109</v>
      </c>
      <c r="B62" s="4">
        <v>0.28520000000000001</v>
      </c>
      <c r="C62" s="4">
        <v>0.24979999999999999</v>
      </c>
      <c r="D62" s="4">
        <v>0.2772</v>
      </c>
      <c r="E62" s="4">
        <v>0.25259999999999999</v>
      </c>
      <c r="F62" s="5">
        <v>8.8744588744588793E-2</v>
      </c>
      <c r="G62" s="5">
        <v>-3.2613936076684169E-3</v>
      </c>
    </row>
    <row r="63" spans="1:7" x14ac:dyDescent="0.35">
      <c r="A63" s="3">
        <v>44110</v>
      </c>
      <c r="B63" s="4">
        <v>0.34129999999999999</v>
      </c>
      <c r="C63" s="4">
        <v>0.22550000000000001</v>
      </c>
      <c r="D63" s="4">
        <v>0.31909999999999999</v>
      </c>
      <c r="E63" s="4">
        <v>0.2349</v>
      </c>
      <c r="F63" s="5">
        <v>7.0071258907363432E-2</v>
      </c>
      <c r="G63" s="5">
        <v>3.6493668023518722E-2</v>
      </c>
    </row>
    <row r="64" spans="1:7" x14ac:dyDescent="0.35">
      <c r="A64" s="3">
        <v>44111</v>
      </c>
      <c r="B64" s="4">
        <v>0.29880000000000001</v>
      </c>
      <c r="C64" s="4">
        <v>0.20799999999999999</v>
      </c>
      <c r="D64" s="4">
        <v>0.2349</v>
      </c>
      <c r="E64" s="4">
        <v>0.26269999999999999</v>
      </c>
      <c r="F64" s="5">
        <v>-0.11834823329076194</v>
      </c>
      <c r="G64" s="5">
        <v>-3.1098723778788528E-3</v>
      </c>
    </row>
    <row r="65" spans="1:7" x14ac:dyDescent="0.35">
      <c r="A65" s="3">
        <v>44112</v>
      </c>
      <c r="B65" s="4">
        <v>0.3</v>
      </c>
      <c r="C65" s="4">
        <v>0.2387</v>
      </c>
      <c r="D65" s="4">
        <v>0.26269999999999999</v>
      </c>
      <c r="E65" s="4">
        <v>0.27639999999999998</v>
      </c>
      <c r="F65" s="5">
        <v>-5.2150742291587227E-2</v>
      </c>
      <c r="G65" s="5">
        <v>-2.7170892925038714E-2</v>
      </c>
    </row>
    <row r="66" spans="1:7" x14ac:dyDescent="0.35">
      <c r="A66" s="3">
        <v>44113</v>
      </c>
      <c r="B66" s="4">
        <v>0.28770000000000001</v>
      </c>
      <c r="C66" s="4">
        <v>0.24690000000000001</v>
      </c>
      <c r="D66" s="4">
        <v>0.27639999999999998</v>
      </c>
      <c r="E66" s="4">
        <v>0.27800000000000002</v>
      </c>
      <c r="F66" s="5">
        <v>-5.7887120115776014E-3</v>
      </c>
      <c r="G66" s="5">
        <v>-4.0461275626423765E-2</v>
      </c>
    </row>
    <row r="67" spans="1:7" x14ac:dyDescent="0.35">
      <c r="A67" s="3">
        <v>44114</v>
      </c>
      <c r="B67" s="4">
        <v>0.3301</v>
      </c>
      <c r="C67" s="4">
        <v>0.27529999999999999</v>
      </c>
      <c r="D67" s="4">
        <v>0.27800000000000002</v>
      </c>
      <c r="E67" s="4">
        <v>0.30409999999999998</v>
      </c>
      <c r="F67" s="5">
        <v>-9.3884892086330662E-2</v>
      </c>
      <c r="G67" s="5">
        <v>-1.4969486330423276E-2</v>
      </c>
    </row>
    <row r="68" spans="1:7" x14ac:dyDescent="0.35">
      <c r="A68" s="3">
        <v>44115</v>
      </c>
      <c r="B68" s="4">
        <v>0.49390000000000001</v>
      </c>
      <c r="C68" s="4">
        <v>0.30409999999999998</v>
      </c>
      <c r="D68" s="4">
        <v>0.30409999999999998</v>
      </c>
      <c r="E68" s="4">
        <v>0.42880000000000001</v>
      </c>
      <c r="F68" s="5">
        <v>-0.41006247944755025</v>
      </c>
      <c r="G68" s="5">
        <v>-9.4100517687663032E-3</v>
      </c>
    </row>
    <row r="69" spans="1:7" x14ac:dyDescent="0.35">
      <c r="A69" s="3">
        <v>44116</v>
      </c>
      <c r="B69" s="4">
        <v>0.43290000000000001</v>
      </c>
      <c r="C69" s="4">
        <v>0.34329999999999999</v>
      </c>
      <c r="D69" s="4">
        <v>0.42880000000000001</v>
      </c>
      <c r="E69" s="4">
        <v>0.3594</v>
      </c>
      <c r="F69" s="5">
        <v>0.16184701492537312</v>
      </c>
      <c r="G69" s="5">
        <v>-3.3496273739882954E-2</v>
      </c>
    </row>
    <row r="70" spans="1:7" x14ac:dyDescent="0.35">
      <c r="A70" s="3">
        <v>44117</v>
      </c>
      <c r="B70" s="4">
        <v>0.37580000000000002</v>
      </c>
      <c r="C70" s="4">
        <v>0.3301</v>
      </c>
      <c r="D70" s="4">
        <v>0.3594</v>
      </c>
      <c r="E70" s="4">
        <v>0.34029999999999999</v>
      </c>
      <c r="F70" s="5">
        <v>5.3144129104062299E-2</v>
      </c>
      <c r="G70" s="5">
        <v>1.421519216355227E-2</v>
      </c>
    </row>
    <row r="71" spans="1:7" x14ac:dyDescent="0.35">
      <c r="A71" s="3">
        <v>44118</v>
      </c>
      <c r="B71" s="4">
        <v>0.42459999999999998</v>
      </c>
      <c r="C71" s="4">
        <v>0.3382</v>
      </c>
      <c r="D71" s="4">
        <v>0.34029999999999999</v>
      </c>
      <c r="E71" s="4">
        <v>0.4083</v>
      </c>
      <c r="F71" s="5">
        <v>-0.19982368498383773</v>
      </c>
      <c r="G71" s="5">
        <v>6.0302561547941336E-3</v>
      </c>
    </row>
    <row r="72" spans="1:7" x14ac:dyDescent="0.35">
      <c r="A72" s="3">
        <v>44119</v>
      </c>
      <c r="B72" s="4">
        <v>0.41349999999999998</v>
      </c>
      <c r="C72" s="4">
        <v>0.35439999999999999</v>
      </c>
      <c r="D72" s="4">
        <v>0.4083</v>
      </c>
      <c r="E72" s="4">
        <v>0.36070000000000002</v>
      </c>
      <c r="F72" s="5">
        <v>0.11658094538329655</v>
      </c>
      <c r="G72" s="5">
        <v>3.7192371607185359E-3</v>
      </c>
    </row>
    <row r="73" spans="1:7" x14ac:dyDescent="0.35">
      <c r="A73" s="3">
        <v>44120</v>
      </c>
      <c r="B73" s="4">
        <v>0.3659</v>
      </c>
      <c r="C73" s="4">
        <v>0.32</v>
      </c>
      <c r="D73" s="4">
        <v>0.36070000000000002</v>
      </c>
      <c r="E73" s="4">
        <v>0.32429999999999998</v>
      </c>
      <c r="F73" s="5">
        <v>0.10091488771832557</v>
      </c>
      <c r="G73" s="5">
        <v>3.2088959491660018E-2</v>
      </c>
    </row>
    <row r="74" spans="1:7" x14ac:dyDescent="0.35">
      <c r="A74" s="3">
        <v>44121</v>
      </c>
      <c r="B74" s="4">
        <v>0.35749999999999998</v>
      </c>
      <c r="C74" s="4">
        <v>0.31090000000000001</v>
      </c>
      <c r="D74" s="4">
        <v>0.32429999999999998</v>
      </c>
      <c r="E74" s="4">
        <v>0.34849999999999998</v>
      </c>
      <c r="F74" s="5">
        <v>-7.4622263336416861E-2</v>
      </c>
      <c r="G74" s="5">
        <v>-8.3976147491657827E-3</v>
      </c>
    </row>
    <row r="75" spans="1:7" x14ac:dyDescent="0.35">
      <c r="A75" s="3">
        <v>44122</v>
      </c>
      <c r="B75" s="4">
        <v>0.35370000000000001</v>
      </c>
      <c r="C75" s="4">
        <v>0.33560000000000001</v>
      </c>
      <c r="D75" s="4">
        <v>0.34849999999999998</v>
      </c>
      <c r="E75" s="4">
        <v>0.34589999999999999</v>
      </c>
      <c r="F75" s="5">
        <v>7.460545193687218E-3</v>
      </c>
      <c r="G75" s="5">
        <v>-2.6556354265563575E-2</v>
      </c>
    </row>
    <row r="76" spans="1:7" x14ac:dyDescent="0.35">
      <c r="A76" s="3">
        <v>44123</v>
      </c>
      <c r="B76" s="4">
        <v>0.34589999999999999</v>
      </c>
      <c r="C76" s="4">
        <v>0.3201</v>
      </c>
      <c r="D76" s="4">
        <v>0.34589999999999999</v>
      </c>
      <c r="E76" s="4">
        <v>0.32450000000000001</v>
      </c>
      <c r="F76" s="5">
        <v>6.1867591789534493E-2</v>
      </c>
      <c r="G76" s="5">
        <v>-2.5631540006343378E-3</v>
      </c>
    </row>
    <row r="77" spans="1:7" x14ac:dyDescent="0.35">
      <c r="A77" s="3">
        <v>44124</v>
      </c>
      <c r="B77" s="4">
        <v>0.3362</v>
      </c>
      <c r="C77" s="4">
        <v>0.27</v>
      </c>
      <c r="D77" s="4">
        <v>0.32450000000000001</v>
      </c>
      <c r="E77" s="4">
        <v>0.28439999999999999</v>
      </c>
      <c r="F77" s="5">
        <v>0.12357473035439148</v>
      </c>
      <c r="G77" s="5">
        <v>2.8122611422998878E-2</v>
      </c>
    </row>
    <row r="78" spans="1:7" x14ac:dyDescent="0.35">
      <c r="A78" s="3">
        <v>44125</v>
      </c>
      <c r="B78" s="4">
        <v>0.35249999999999998</v>
      </c>
      <c r="C78" s="4">
        <v>0.2828</v>
      </c>
      <c r="D78" s="4">
        <v>0.28439999999999999</v>
      </c>
      <c r="E78" s="4">
        <v>0.32750000000000001</v>
      </c>
      <c r="F78" s="5">
        <v>-0.15154711673699017</v>
      </c>
      <c r="G78" s="5">
        <v>-6.1615230243531993E-2</v>
      </c>
    </row>
    <row r="79" spans="1:7" x14ac:dyDescent="0.35">
      <c r="A79" s="3">
        <v>44126</v>
      </c>
      <c r="B79" s="4">
        <v>0.36</v>
      </c>
      <c r="C79" s="4">
        <v>0.32379999999999998</v>
      </c>
      <c r="D79" s="4">
        <v>0.32750000000000001</v>
      </c>
      <c r="E79" s="4">
        <v>0.33850000000000002</v>
      </c>
      <c r="F79" s="5">
        <v>-3.3587786259541952E-2</v>
      </c>
      <c r="G79" s="5">
        <v>-5.8856588157155221E-2</v>
      </c>
    </row>
    <row r="80" spans="1:7" x14ac:dyDescent="0.35">
      <c r="A80" s="3">
        <v>44127</v>
      </c>
      <c r="B80" s="4">
        <v>0.34860000000000002</v>
      </c>
      <c r="C80" s="4">
        <v>0.31709999999999999</v>
      </c>
      <c r="D80" s="4">
        <v>0.33850000000000002</v>
      </c>
      <c r="E80" s="4">
        <v>0.33910000000000001</v>
      </c>
      <c r="F80" s="5">
        <v>-1.7725258493352936E-3</v>
      </c>
      <c r="G80" s="5">
        <v>1.189384800965021E-2</v>
      </c>
    </row>
    <row r="81" spans="1:7" x14ac:dyDescent="0.35">
      <c r="A81" s="3">
        <v>44128</v>
      </c>
      <c r="B81" s="4">
        <v>0.34129999999999999</v>
      </c>
      <c r="C81" s="4">
        <v>0.32550000000000001</v>
      </c>
      <c r="D81" s="4">
        <v>0.33910000000000001</v>
      </c>
      <c r="E81" s="4">
        <v>0.32779999999999998</v>
      </c>
      <c r="F81" s="5">
        <v>3.3323503391330056E-2</v>
      </c>
      <c r="G81" s="5">
        <v>-7.275923529555417E-3</v>
      </c>
    </row>
    <row r="82" spans="1:7" x14ac:dyDescent="0.35">
      <c r="A82" s="3">
        <v>44129</v>
      </c>
      <c r="B82" s="4">
        <v>0.32990000000000003</v>
      </c>
      <c r="C82" s="4">
        <v>0.30499999999999999</v>
      </c>
      <c r="D82" s="4">
        <v>0.32779999999999998</v>
      </c>
      <c r="E82" s="4">
        <v>0.31359999999999999</v>
      </c>
      <c r="F82" s="5">
        <v>4.3319097010372176E-2</v>
      </c>
      <c r="G82" s="5">
        <v>1.5004241910071547E-2</v>
      </c>
    </row>
    <row r="83" spans="1:7" x14ac:dyDescent="0.35">
      <c r="A83" s="3">
        <v>44130</v>
      </c>
      <c r="B83" s="4">
        <v>0.32</v>
      </c>
      <c r="C83" s="4">
        <v>0.28549999999999998</v>
      </c>
      <c r="D83" s="4">
        <v>0.31359999999999999</v>
      </c>
      <c r="E83" s="4">
        <v>0.29609999999999997</v>
      </c>
      <c r="F83" s="5">
        <v>5.5803571428571508E-2</v>
      </c>
      <c r="G83" s="5">
        <v>3.2606555763362577E-2</v>
      </c>
    </row>
    <row r="84" spans="1:7" x14ac:dyDescent="0.35">
      <c r="A84" s="3">
        <v>44131</v>
      </c>
      <c r="B84" s="4">
        <v>0.32</v>
      </c>
      <c r="C84" s="4">
        <v>0.28689999999999999</v>
      </c>
      <c r="D84" s="4">
        <v>0.29609999999999997</v>
      </c>
      <c r="E84" s="4">
        <v>0.2949</v>
      </c>
      <c r="F84" s="5">
        <v>4.0526849037486601E-3</v>
      </c>
      <c r="G84" s="5">
        <v>-2.7040777390552329E-2</v>
      </c>
    </row>
    <row r="85" spans="1:7" x14ac:dyDescent="0.35">
      <c r="A85" s="3">
        <v>44132</v>
      </c>
      <c r="B85" s="4">
        <v>0.30740000000000001</v>
      </c>
      <c r="C85" s="4">
        <v>0.27100000000000002</v>
      </c>
      <c r="D85" s="4">
        <v>0.2949</v>
      </c>
      <c r="E85" s="4">
        <v>0.27929999999999999</v>
      </c>
      <c r="F85" s="5">
        <v>5.2899287894201397E-2</v>
      </c>
      <c r="G85" s="5">
        <v>3.7078317729231758E-2</v>
      </c>
    </row>
    <row r="86" spans="1:7" x14ac:dyDescent="0.35">
      <c r="A86" s="3">
        <v>44133</v>
      </c>
      <c r="B86" s="4">
        <v>0.28470000000000001</v>
      </c>
      <c r="C86" s="4">
        <v>0.25209999999999999</v>
      </c>
      <c r="D86" s="4">
        <v>0.27929999999999999</v>
      </c>
      <c r="E86" s="4">
        <v>0.25659999999999999</v>
      </c>
      <c r="F86" s="5">
        <v>8.1274615109201531E-2</v>
      </c>
      <c r="G86" s="5">
        <v>3.163824369164181E-3</v>
      </c>
    </row>
    <row r="87" spans="1:7" x14ac:dyDescent="0.35">
      <c r="A87" s="3">
        <v>44134</v>
      </c>
      <c r="B87" s="4">
        <v>0.27029999999999998</v>
      </c>
      <c r="C87" s="4">
        <v>0.2306</v>
      </c>
      <c r="D87" s="4">
        <v>0.25659999999999999</v>
      </c>
      <c r="E87" s="4">
        <v>0.2671</v>
      </c>
      <c r="F87" s="5">
        <v>-4.0919719407638278E-2</v>
      </c>
      <c r="G87" s="5">
        <v>1.2334210662125256E-2</v>
      </c>
    </row>
    <row r="88" spans="1:7" x14ac:dyDescent="0.35">
      <c r="A88" s="3">
        <v>44135</v>
      </c>
      <c r="B88" s="4">
        <v>0.29070000000000001</v>
      </c>
      <c r="C88" s="4">
        <v>0.26129999999999998</v>
      </c>
      <c r="D88" s="4">
        <v>0.2671</v>
      </c>
      <c r="E88" s="4">
        <v>0.28810000000000002</v>
      </c>
      <c r="F88" s="5">
        <v>-7.8622238861849603E-2</v>
      </c>
      <c r="G88" s="5">
        <v>-1.0476538823283477E-2</v>
      </c>
    </row>
    <row r="89" spans="1:7" x14ac:dyDescent="0.35">
      <c r="A89" s="3">
        <v>44136</v>
      </c>
      <c r="B89" s="4">
        <v>0.29239999999999999</v>
      </c>
      <c r="C89" s="4">
        <v>0.26240000000000002</v>
      </c>
      <c r="D89" s="4">
        <v>0.28810000000000002</v>
      </c>
      <c r="E89" s="4">
        <v>0.26719999999999999</v>
      </c>
      <c r="F89" s="5">
        <v>7.2544255466851837E-2</v>
      </c>
      <c r="G89" s="5">
        <v>-2.5803449078263707E-2</v>
      </c>
    </row>
    <row r="90" spans="1:7" x14ac:dyDescent="0.35">
      <c r="A90" s="3">
        <v>44137</v>
      </c>
      <c r="B90" s="4">
        <v>0.2772</v>
      </c>
      <c r="C90" s="4">
        <v>0.2472</v>
      </c>
      <c r="D90" s="4">
        <v>0.26719999999999999</v>
      </c>
      <c r="E90" s="4">
        <v>0.253</v>
      </c>
      <c r="F90" s="5">
        <v>5.3143712574850288E-2</v>
      </c>
      <c r="G90" s="5">
        <v>3.3119092627599156E-2</v>
      </c>
    </row>
    <row r="91" spans="1:7" x14ac:dyDescent="0.35">
      <c r="A91" s="3">
        <v>44138</v>
      </c>
      <c r="B91" s="4">
        <v>0.26500000000000001</v>
      </c>
      <c r="C91" s="4">
        <v>0.23649999999999999</v>
      </c>
      <c r="D91" s="4">
        <v>0.253</v>
      </c>
      <c r="E91" s="4">
        <v>0.25650000000000001</v>
      </c>
      <c r="F91" s="5">
        <v>-1.383399209486158E-2</v>
      </c>
      <c r="G91" s="5">
        <v>-1.191314095044449E-2</v>
      </c>
    </row>
    <row r="92" spans="1:7" x14ac:dyDescent="0.35">
      <c r="A92" s="3">
        <v>44139</v>
      </c>
      <c r="B92" s="4">
        <v>0.25919999999999999</v>
      </c>
      <c r="C92" s="4">
        <v>0.25619999999999998</v>
      </c>
      <c r="D92" s="4">
        <v>0.25650000000000001</v>
      </c>
      <c r="E92" s="4">
        <v>0.25919999999999999</v>
      </c>
      <c r="F92" s="5">
        <v>-1.0526315789473717E-2</v>
      </c>
      <c r="G92" s="5">
        <v>-1.5456746870001759E-4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7B5DA-CA06-45B3-98D7-719FCD135246}">
  <sheetPr codeName="Sheet13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0.13469999999999999</v>
      </c>
      <c r="C2" s="4">
        <v>0.12670000000000001</v>
      </c>
      <c r="D2" s="4">
        <v>0.1318</v>
      </c>
      <c r="E2" s="4">
        <v>0.13120000000000001</v>
      </c>
    </row>
    <row r="3" spans="1:7" x14ac:dyDescent="0.35">
      <c r="A3" s="3">
        <v>44050</v>
      </c>
      <c r="B3" s="4">
        <v>0.12939999999999999</v>
      </c>
      <c r="C3" s="4">
        <v>0.12280000000000001</v>
      </c>
      <c r="D3" s="4">
        <v>0.13120000000000001</v>
      </c>
      <c r="E3" s="4">
        <v>0.1258</v>
      </c>
      <c r="F3" s="5">
        <v>4.1158536585365946E-2</v>
      </c>
      <c r="G3" s="5">
        <v>3.9160591332523365E-2</v>
      </c>
    </row>
    <row r="4" spans="1:7" x14ac:dyDescent="0.35">
      <c r="A4" s="3">
        <v>44051</v>
      </c>
      <c r="B4" s="4">
        <v>0.13880000000000001</v>
      </c>
      <c r="C4" s="4">
        <v>0.1288</v>
      </c>
      <c r="D4" s="4">
        <v>0.1258</v>
      </c>
      <c r="E4" s="4">
        <v>0.13519999999999999</v>
      </c>
      <c r="F4" s="5">
        <v>-7.4721780604133592E-2</v>
      </c>
      <c r="G4" s="5">
        <v>-4.739573728166091E-2</v>
      </c>
    </row>
    <row r="5" spans="1:7" x14ac:dyDescent="0.35">
      <c r="A5" s="3">
        <v>44052</v>
      </c>
      <c r="B5" s="4">
        <v>0.1537</v>
      </c>
      <c r="C5" s="4">
        <v>0.13100000000000001</v>
      </c>
      <c r="D5" s="4">
        <v>0.13519999999999999</v>
      </c>
      <c r="E5" s="4">
        <v>0.1459</v>
      </c>
      <c r="F5" s="5">
        <v>-7.914201183431957E-2</v>
      </c>
      <c r="G5" s="5">
        <v>1.8311701378408318E-2</v>
      </c>
    </row>
    <row r="6" spans="1:7" x14ac:dyDescent="0.35">
      <c r="A6" s="3">
        <v>44053</v>
      </c>
      <c r="B6" s="4">
        <v>0.1497</v>
      </c>
      <c r="C6" s="4">
        <v>0.13919999999999999</v>
      </c>
      <c r="D6" s="4">
        <v>0.1459</v>
      </c>
      <c r="E6" s="4">
        <v>0.14649999999999999</v>
      </c>
      <c r="F6" s="5">
        <v>-4.1124057573680428E-3</v>
      </c>
      <c r="G6" s="5">
        <v>-1.3913088039356314E-2</v>
      </c>
    </row>
    <row r="7" spans="1:7" x14ac:dyDescent="0.35">
      <c r="A7" s="3">
        <v>44054</v>
      </c>
      <c r="B7" s="4">
        <v>0.1416</v>
      </c>
      <c r="C7" s="4">
        <v>0.12690000000000001</v>
      </c>
      <c r="D7" s="4">
        <v>0.14649999999999999</v>
      </c>
      <c r="E7" s="4">
        <v>0.13439999999999999</v>
      </c>
      <c r="F7" s="5">
        <v>8.2593856655290065E-2</v>
      </c>
      <c r="G7" s="5">
        <v>4.2379520355816047E-2</v>
      </c>
    </row>
    <row r="8" spans="1:7" x14ac:dyDescent="0.35">
      <c r="A8" s="3">
        <v>44055</v>
      </c>
      <c r="B8" s="4">
        <v>0.14960000000000001</v>
      </c>
      <c r="C8" s="4">
        <v>0.1308</v>
      </c>
      <c r="D8" s="4">
        <v>0.13439999999999999</v>
      </c>
      <c r="E8" s="4">
        <v>0.14510000000000001</v>
      </c>
      <c r="F8" s="5">
        <v>-7.9613095238095344E-2</v>
      </c>
      <c r="G8" s="5">
        <v>-2.1771256663323912E-2</v>
      </c>
    </row>
    <row r="9" spans="1:7" x14ac:dyDescent="0.35">
      <c r="A9" s="3">
        <v>44056</v>
      </c>
      <c r="B9" s="4">
        <v>0.17929999999999999</v>
      </c>
      <c r="C9" s="4">
        <v>0.14979999999999999</v>
      </c>
      <c r="D9" s="4">
        <v>0.14510000000000001</v>
      </c>
      <c r="E9" s="4">
        <v>0.15939999999999999</v>
      </c>
      <c r="F9" s="5">
        <v>-9.8552722260509817E-2</v>
      </c>
      <c r="G9" s="5">
        <v>-9.7574834060797144E-2</v>
      </c>
    </row>
    <row r="10" spans="1:7" x14ac:dyDescent="0.35">
      <c r="A10" s="3">
        <v>44057</v>
      </c>
      <c r="B10" s="4">
        <v>0.19289999999999999</v>
      </c>
      <c r="C10" s="4">
        <v>0.1603</v>
      </c>
      <c r="D10" s="4">
        <v>0.15939999999999999</v>
      </c>
      <c r="E10" s="4">
        <v>0.1898</v>
      </c>
      <c r="F10" s="5">
        <v>-0.1907151819322459</v>
      </c>
      <c r="G10" s="5">
        <v>-3.1861072546297331E-2</v>
      </c>
    </row>
    <row r="11" spans="1:7" x14ac:dyDescent="0.35">
      <c r="A11" s="3">
        <v>44058</v>
      </c>
      <c r="B11" s="4">
        <v>0.22</v>
      </c>
      <c r="C11" s="4">
        <v>0.17369999999999999</v>
      </c>
      <c r="D11" s="4">
        <v>0.1898</v>
      </c>
      <c r="E11" s="4">
        <v>0.17530000000000001</v>
      </c>
      <c r="F11" s="5">
        <v>7.639620653319279E-2</v>
      </c>
      <c r="G11" s="5">
        <v>1.3545871245809638E-2</v>
      </c>
    </row>
    <row r="12" spans="1:7" x14ac:dyDescent="0.35">
      <c r="A12" s="3">
        <v>44059</v>
      </c>
      <c r="B12" s="4">
        <v>0.1983</v>
      </c>
      <c r="C12" s="4">
        <v>0.1731</v>
      </c>
      <c r="D12" s="4">
        <v>0.17530000000000001</v>
      </c>
      <c r="E12" s="4">
        <v>0.18859999999999999</v>
      </c>
      <c r="F12" s="5">
        <v>-7.5869937250427677E-2</v>
      </c>
      <c r="G12" s="5">
        <v>-2.9590586494672166E-3</v>
      </c>
    </row>
    <row r="13" spans="1:7" x14ac:dyDescent="0.35">
      <c r="A13" s="3">
        <v>44060</v>
      </c>
      <c r="B13" s="4">
        <v>0.20569999999999999</v>
      </c>
      <c r="C13" s="4">
        <v>0.17860000000000001</v>
      </c>
      <c r="D13" s="4">
        <v>0.18859999999999999</v>
      </c>
      <c r="E13" s="4">
        <v>0.1794</v>
      </c>
      <c r="F13" s="5">
        <v>4.8780487804877981E-2</v>
      </c>
      <c r="G13" s="5">
        <v>5.9698052322232353E-3</v>
      </c>
    </row>
    <row r="14" spans="1:7" x14ac:dyDescent="0.35">
      <c r="A14" s="3">
        <v>44061</v>
      </c>
      <c r="B14" s="4">
        <v>0.18210000000000001</v>
      </c>
      <c r="C14" s="4">
        <v>0.16689999999999999</v>
      </c>
      <c r="D14" s="4">
        <v>0.1794</v>
      </c>
      <c r="E14" s="4">
        <v>0.17469999999999999</v>
      </c>
      <c r="F14" s="5">
        <v>2.6198439241917559E-2</v>
      </c>
      <c r="G14" s="5">
        <v>2.1031396373417444E-2</v>
      </c>
    </row>
    <row r="15" spans="1:7" x14ac:dyDescent="0.35">
      <c r="A15" s="3">
        <v>44062</v>
      </c>
      <c r="B15" s="4">
        <v>0.17180000000000001</v>
      </c>
      <c r="C15" s="4">
        <v>0.15909999999999999</v>
      </c>
      <c r="D15" s="4">
        <v>0.17469999999999999</v>
      </c>
      <c r="E15" s="4">
        <v>0.16070000000000001</v>
      </c>
      <c r="F15" s="5">
        <v>8.0137378362907796E-2</v>
      </c>
      <c r="G15" s="5">
        <v>3.3965750017764473E-2</v>
      </c>
    </row>
    <row r="16" spans="1:7" x14ac:dyDescent="0.35">
      <c r="A16" s="3">
        <v>44063</v>
      </c>
      <c r="B16" s="4">
        <v>0.1961</v>
      </c>
      <c r="C16" s="4">
        <v>0.16300000000000001</v>
      </c>
      <c r="D16" s="4">
        <v>0.16070000000000001</v>
      </c>
      <c r="E16" s="4">
        <v>0.1933</v>
      </c>
      <c r="F16" s="5">
        <v>-0.20286247666459234</v>
      </c>
      <c r="G16" s="5">
        <v>-2.0080912100036707E-2</v>
      </c>
    </row>
    <row r="17" spans="1:7" x14ac:dyDescent="0.35">
      <c r="A17" s="3">
        <v>44064</v>
      </c>
      <c r="B17" s="4">
        <v>0.21659999999999999</v>
      </c>
      <c r="C17" s="4">
        <v>0.17130000000000001</v>
      </c>
      <c r="D17" s="4">
        <v>0.1933</v>
      </c>
      <c r="E17" s="4">
        <v>0.17299999999999999</v>
      </c>
      <c r="F17" s="5">
        <v>0.10501810657009836</v>
      </c>
      <c r="G17" s="5">
        <v>6.7445437938659758E-2</v>
      </c>
    </row>
    <row r="18" spans="1:7" x14ac:dyDescent="0.35">
      <c r="A18" s="3">
        <v>44065</v>
      </c>
      <c r="B18" s="4">
        <v>0.19700000000000001</v>
      </c>
      <c r="C18" s="4">
        <v>0.16600000000000001</v>
      </c>
      <c r="D18" s="4">
        <v>0.17299999999999999</v>
      </c>
      <c r="E18" s="4">
        <v>0.19600000000000001</v>
      </c>
      <c r="F18" s="5">
        <v>-0.13294797687861282</v>
      </c>
      <c r="G18" s="5">
        <v>-1.9279344296097678E-2</v>
      </c>
    </row>
    <row r="19" spans="1:7" x14ac:dyDescent="0.35">
      <c r="A19" s="3">
        <v>44066</v>
      </c>
      <c r="B19" s="4">
        <v>0.20810000000000001</v>
      </c>
      <c r="C19" s="4">
        <v>0.189</v>
      </c>
      <c r="D19" s="4">
        <v>0.19600000000000001</v>
      </c>
      <c r="E19" s="4">
        <v>0.19159999999999999</v>
      </c>
      <c r="F19" s="5">
        <v>2.2448979591836782E-2</v>
      </c>
      <c r="G19" s="5">
        <v>1.1986041571840245E-2</v>
      </c>
    </row>
    <row r="20" spans="1:7" x14ac:dyDescent="0.35">
      <c r="A20" s="3">
        <v>44067</v>
      </c>
      <c r="B20" s="4">
        <v>0.20050000000000001</v>
      </c>
      <c r="C20" s="4">
        <v>0.186</v>
      </c>
      <c r="D20" s="4">
        <v>0.19159999999999999</v>
      </c>
      <c r="E20" s="4">
        <v>0.18920000000000001</v>
      </c>
      <c r="F20" s="5">
        <v>1.2526096033402823E-2</v>
      </c>
      <c r="G20" s="5">
        <v>-4.4302825552825498E-2</v>
      </c>
    </row>
    <row r="21" spans="1:7" x14ac:dyDescent="0.35">
      <c r="A21" s="3">
        <v>44068</v>
      </c>
      <c r="B21" s="4">
        <v>0.19850000000000001</v>
      </c>
      <c r="C21" s="4">
        <v>0.17660000000000001</v>
      </c>
      <c r="D21" s="4">
        <v>0.18920000000000001</v>
      </c>
      <c r="E21" s="4">
        <v>0.1978</v>
      </c>
      <c r="F21" s="5">
        <v>-4.5454545454545414E-2</v>
      </c>
      <c r="G21" s="5">
        <v>6.051025659877951E-2</v>
      </c>
    </row>
    <row r="22" spans="1:7" x14ac:dyDescent="0.35">
      <c r="A22" s="3">
        <v>44069</v>
      </c>
      <c r="B22" s="4">
        <v>0.20499999999999999</v>
      </c>
      <c r="C22" s="4">
        <v>0.191</v>
      </c>
      <c r="D22" s="4">
        <v>0.191</v>
      </c>
      <c r="E22" s="4">
        <v>0.19789999999999999</v>
      </c>
      <c r="F22" s="5">
        <v>-5.0556117290190272E-4</v>
      </c>
      <c r="G22" s="5">
        <v>-6.9911827620390277E-3</v>
      </c>
    </row>
    <row r="23" spans="1:7" x14ac:dyDescent="0.35">
      <c r="A23" s="3">
        <v>44070</v>
      </c>
      <c r="B23" s="4">
        <v>0.19620000000000001</v>
      </c>
      <c r="C23" s="4">
        <v>0.18160000000000001</v>
      </c>
      <c r="D23" s="4">
        <v>0.19489999999999999</v>
      </c>
      <c r="E23" s="4">
        <v>0.18779999999999999</v>
      </c>
      <c r="F23" s="5">
        <v>5.1035876705406769E-2</v>
      </c>
      <c r="G23" s="5">
        <v>7.8493342313868952E-3</v>
      </c>
    </row>
    <row r="24" spans="1:7" x14ac:dyDescent="0.35">
      <c r="A24" s="3">
        <v>44071</v>
      </c>
      <c r="B24" s="4">
        <v>0.19650000000000001</v>
      </c>
      <c r="C24" s="4">
        <v>0.18479999999999999</v>
      </c>
      <c r="D24" s="4">
        <v>0.18779999999999999</v>
      </c>
      <c r="E24" s="4">
        <v>0.19420000000000001</v>
      </c>
      <c r="F24" s="5">
        <v>-3.4078807241746611E-2</v>
      </c>
      <c r="G24" s="5">
        <v>-3.2768479594767586E-2</v>
      </c>
    </row>
    <row r="25" spans="1:7" x14ac:dyDescent="0.35">
      <c r="A25" s="3">
        <v>44072</v>
      </c>
      <c r="B25" s="4">
        <v>0.2137</v>
      </c>
      <c r="C25" s="4">
        <v>0.191</v>
      </c>
      <c r="D25" s="4">
        <v>0.19420000000000001</v>
      </c>
      <c r="E25" s="4">
        <v>0.20530000000000001</v>
      </c>
      <c r="F25" s="5">
        <v>-5.7157569515962958E-2</v>
      </c>
      <c r="G25" s="5">
        <v>-8.6211255498811479E-3</v>
      </c>
    </row>
    <row r="26" spans="1:7" x14ac:dyDescent="0.35">
      <c r="A26" s="3">
        <v>44073</v>
      </c>
      <c r="B26" s="4">
        <v>0.25390000000000001</v>
      </c>
      <c r="C26" s="4">
        <v>0.21859999999999999</v>
      </c>
      <c r="D26" s="4">
        <v>0.20530000000000001</v>
      </c>
      <c r="E26" s="4">
        <v>0.23669999999999999</v>
      </c>
      <c r="F26" s="5">
        <v>-0.15294690696541635</v>
      </c>
      <c r="G26" s="5">
        <v>-7.5773906504574606E-2</v>
      </c>
    </row>
    <row r="27" spans="1:7" x14ac:dyDescent="0.35">
      <c r="A27" s="3">
        <v>44074</v>
      </c>
      <c r="B27" s="4">
        <v>0.23799999999999999</v>
      </c>
      <c r="C27" s="4">
        <v>0.2157</v>
      </c>
      <c r="D27" s="4">
        <v>0.2351</v>
      </c>
      <c r="E27" s="4">
        <v>0.2198</v>
      </c>
      <c r="F27" s="5">
        <v>7.1398394592310899E-2</v>
      </c>
      <c r="G27" s="5">
        <v>-1.1556922503378475E-2</v>
      </c>
    </row>
    <row r="28" spans="1:7" x14ac:dyDescent="0.35">
      <c r="A28" s="3">
        <v>44075</v>
      </c>
      <c r="B28" s="4">
        <v>0.223</v>
      </c>
      <c r="C28" s="4">
        <v>0.2157</v>
      </c>
      <c r="D28" s="4">
        <v>0.2198</v>
      </c>
      <c r="E28" s="4">
        <v>0.21820000000000001</v>
      </c>
      <c r="F28" s="5">
        <v>7.2793448589626442E-3</v>
      </c>
      <c r="G28" s="5">
        <v>-9.6397475468742888E-2</v>
      </c>
    </row>
    <row r="29" spans="1:7" x14ac:dyDescent="0.35">
      <c r="A29" s="3">
        <v>44076</v>
      </c>
      <c r="B29" s="4">
        <v>0.2429</v>
      </c>
      <c r="C29" s="4">
        <v>0.19489999999999999</v>
      </c>
      <c r="D29" s="4">
        <v>0.22539999999999999</v>
      </c>
      <c r="E29" s="4">
        <v>0.22209999999999999</v>
      </c>
      <c r="F29" s="5">
        <v>-1.7873510540788118E-2</v>
      </c>
      <c r="G29" s="5">
        <v>7.5967982520641186E-2</v>
      </c>
    </row>
    <row r="30" spans="1:7" x14ac:dyDescent="0.35">
      <c r="A30" s="3">
        <v>44077</v>
      </c>
      <c r="B30" s="4">
        <v>0.23599999999999999</v>
      </c>
      <c r="C30" s="4">
        <v>0.1908</v>
      </c>
      <c r="D30" s="4">
        <v>0.22209999999999999</v>
      </c>
      <c r="E30" s="4">
        <v>0.21299999999999999</v>
      </c>
      <c r="F30" s="5">
        <v>4.0972534894191837E-2</v>
      </c>
      <c r="G30" s="5">
        <v>0.1304367596571403</v>
      </c>
    </row>
    <row r="31" spans="1:7" x14ac:dyDescent="0.35">
      <c r="A31" s="3">
        <v>44078</v>
      </c>
      <c r="B31" s="4">
        <v>0.22650000000000001</v>
      </c>
      <c r="C31" s="4">
        <v>0.19789999999999999</v>
      </c>
      <c r="D31" s="4">
        <v>0.21299999999999999</v>
      </c>
      <c r="E31" s="4">
        <v>0.20649999999999999</v>
      </c>
      <c r="F31" s="5">
        <v>3.0516431924882625E-2</v>
      </c>
      <c r="G31" s="5">
        <v>-9.0205511687497797E-3</v>
      </c>
    </row>
    <row r="32" spans="1:7" x14ac:dyDescent="0.35">
      <c r="A32" s="3">
        <v>44079</v>
      </c>
      <c r="B32" s="4">
        <v>0.19189999999999999</v>
      </c>
      <c r="C32" s="4">
        <v>0.16020000000000001</v>
      </c>
      <c r="D32" s="4">
        <v>0.20649999999999999</v>
      </c>
      <c r="E32" s="4">
        <v>0.17219999999999999</v>
      </c>
      <c r="F32" s="5">
        <v>0.16610169491525428</v>
      </c>
      <c r="G32" s="5">
        <v>0.13130004405172191</v>
      </c>
    </row>
    <row r="33" spans="1:7" x14ac:dyDescent="0.35">
      <c r="A33" s="3">
        <v>44080</v>
      </c>
      <c r="B33" s="4">
        <v>0.19070000000000001</v>
      </c>
      <c r="C33" s="4">
        <v>0.16750000000000001</v>
      </c>
      <c r="D33" s="4">
        <v>0.17219999999999999</v>
      </c>
      <c r="E33" s="4">
        <v>0.1837</v>
      </c>
      <c r="F33" s="5">
        <v>-6.6782810685249716E-2</v>
      </c>
      <c r="G33" s="5">
        <v>-5.2052261066698469E-2</v>
      </c>
    </row>
    <row r="34" spans="1:7" x14ac:dyDescent="0.35">
      <c r="A34" s="3">
        <v>44081</v>
      </c>
      <c r="B34" s="4">
        <v>0.18210000000000001</v>
      </c>
      <c r="C34" s="4">
        <v>0.16700000000000001</v>
      </c>
      <c r="D34" s="4">
        <v>0.18210000000000001</v>
      </c>
      <c r="E34" s="4">
        <v>0.17899999999999999</v>
      </c>
      <c r="F34" s="5">
        <v>2.5585193249863969E-2</v>
      </c>
      <c r="G34" s="5">
        <v>-2.8637046698234414E-3</v>
      </c>
    </row>
    <row r="35" spans="1:7" x14ac:dyDescent="0.35">
      <c r="A35" s="3">
        <v>44082</v>
      </c>
      <c r="B35" s="4">
        <v>0.1787</v>
      </c>
      <c r="C35" s="4">
        <v>0.16839999999999999</v>
      </c>
      <c r="D35" s="4">
        <v>0.17799999999999999</v>
      </c>
      <c r="E35" s="4">
        <v>0.17549999999999999</v>
      </c>
      <c r="F35" s="5">
        <v>1.9553072625698387E-2</v>
      </c>
      <c r="G35" s="5">
        <v>4.5942889454339886E-2</v>
      </c>
    </row>
    <row r="36" spans="1:7" x14ac:dyDescent="0.35">
      <c r="A36" s="3">
        <v>44083</v>
      </c>
      <c r="B36" s="4">
        <v>0.22070000000000001</v>
      </c>
      <c r="C36" s="4">
        <v>0.1777</v>
      </c>
      <c r="D36" s="4">
        <v>0.17549999999999999</v>
      </c>
      <c r="E36" s="4">
        <v>0.2069</v>
      </c>
      <c r="F36" s="5">
        <v>-0.17891737891737902</v>
      </c>
      <c r="G36" s="5">
        <v>-4.0598607201066894E-2</v>
      </c>
    </row>
    <row r="37" spans="1:7" x14ac:dyDescent="0.35">
      <c r="A37" s="3">
        <v>44084</v>
      </c>
      <c r="B37" s="4">
        <v>0.28949999999999998</v>
      </c>
      <c r="C37" s="4">
        <v>0.2109</v>
      </c>
      <c r="D37" s="4">
        <v>0.2069</v>
      </c>
      <c r="E37" s="4">
        <v>0.25469999999999998</v>
      </c>
      <c r="F37" s="5">
        <v>-0.23102948284195257</v>
      </c>
      <c r="G37" s="5">
        <v>-4.8241492239783579E-2</v>
      </c>
    </row>
    <row r="38" spans="1:7" x14ac:dyDescent="0.35">
      <c r="A38" s="3">
        <v>44085</v>
      </c>
      <c r="B38" s="4">
        <v>0.27989999999999998</v>
      </c>
      <c r="C38" s="4">
        <v>0.23630000000000001</v>
      </c>
      <c r="D38" s="4">
        <v>0.25469999999999998</v>
      </c>
      <c r="E38" s="4">
        <v>0.25040000000000001</v>
      </c>
      <c r="F38" s="5">
        <v>1.6882606988613991E-2</v>
      </c>
      <c r="G38" s="5">
        <v>-1.6028688635931543E-2</v>
      </c>
    </row>
    <row r="39" spans="1:7" x14ac:dyDescent="0.35">
      <c r="A39" s="3">
        <v>44086</v>
      </c>
      <c r="B39" s="4">
        <v>0.28799999999999998</v>
      </c>
      <c r="C39" s="4">
        <v>0.25480000000000003</v>
      </c>
      <c r="D39" s="4">
        <v>0.25040000000000001</v>
      </c>
      <c r="E39" s="4">
        <v>0.25679999999999997</v>
      </c>
      <c r="F39" s="5">
        <v>-2.5559105431309792E-2</v>
      </c>
      <c r="G39" s="5">
        <v>-3.7567849407738274E-2</v>
      </c>
    </row>
    <row r="40" spans="1:7" x14ac:dyDescent="0.35">
      <c r="A40" s="3">
        <v>44087</v>
      </c>
      <c r="B40" s="4">
        <v>0.25559999999999999</v>
      </c>
      <c r="C40" s="4">
        <v>0.2397</v>
      </c>
      <c r="D40" s="4">
        <v>0.25679999999999997</v>
      </c>
      <c r="E40" s="4">
        <v>0.25490000000000002</v>
      </c>
      <c r="F40" s="5">
        <v>7.3987538940808451E-3</v>
      </c>
      <c r="G40" s="5">
        <v>5.6076693124420318E-2</v>
      </c>
    </row>
    <row r="41" spans="1:7" x14ac:dyDescent="0.35">
      <c r="A41" s="3">
        <v>44088</v>
      </c>
      <c r="B41" s="4">
        <v>0.29699999999999999</v>
      </c>
      <c r="C41" s="4">
        <v>0.25280000000000002</v>
      </c>
      <c r="D41" s="4">
        <v>0.25490000000000002</v>
      </c>
      <c r="E41" s="4">
        <v>0.25990000000000002</v>
      </c>
      <c r="F41" s="5">
        <v>-1.9615535504119208E-2</v>
      </c>
      <c r="G41" s="5">
        <v>-2.9977066724909962E-2</v>
      </c>
    </row>
    <row r="42" spans="1:7" x14ac:dyDescent="0.35">
      <c r="A42" s="3">
        <v>44089</v>
      </c>
      <c r="B42" s="4">
        <v>0.29820000000000002</v>
      </c>
      <c r="C42" s="4">
        <v>0.24909999999999999</v>
      </c>
      <c r="D42" s="4">
        <v>0.2626</v>
      </c>
      <c r="E42" s="4">
        <v>0.254</v>
      </c>
      <c r="F42" s="5">
        <v>2.2701038861100531E-2</v>
      </c>
      <c r="G42" s="5">
        <v>3.4724062980437842E-2</v>
      </c>
    </row>
    <row r="43" spans="1:7" x14ac:dyDescent="0.35">
      <c r="A43" s="3">
        <v>44090</v>
      </c>
      <c r="B43" s="4">
        <v>0.25769999999999998</v>
      </c>
      <c r="C43" s="4">
        <v>0.22919999999999999</v>
      </c>
      <c r="D43" s="4">
        <v>0.254</v>
      </c>
      <c r="E43" s="4">
        <v>0.24379999999999999</v>
      </c>
      <c r="F43" s="5">
        <v>4.0157480314960692E-2</v>
      </c>
      <c r="G43" s="5">
        <v>-2.5538224956060951E-3</v>
      </c>
    </row>
    <row r="44" spans="1:7" x14ac:dyDescent="0.35">
      <c r="A44" s="3">
        <v>44091</v>
      </c>
      <c r="B44" s="4">
        <v>0.37690000000000001</v>
      </c>
      <c r="C44" s="4">
        <v>0.223</v>
      </c>
      <c r="D44" s="4">
        <v>0.24379999999999999</v>
      </c>
      <c r="E44" s="4">
        <v>0.26569999999999999</v>
      </c>
      <c r="F44" s="5">
        <v>-8.9827727645611199E-2</v>
      </c>
      <c r="G44" s="5">
        <v>-6.6969788271385333E-2</v>
      </c>
    </row>
    <row r="45" spans="1:7" x14ac:dyDescent="0.35">
      <c r="A45" s="3">
        <v>44092</v>
      </c>
      <c r="B45" s="4">
        <v>0.32719999999999999</v>
      </c>
      <c r="C45" s="4">
        <v>0.25</v>
      </c>
      <c r="D45" s="4">
        <v>0.26569999999999999</v>
      </c>
      <c r="E45" s="4">
        <v>0.2621</v>
      </c>
      <c r="F45" s="5">
        <v>1.3549115543846413E-2</v>
      </c>
      <c r="G45" s="5">
        <v>1.3015351440160194E-2</v>
      </c>
    </row>
    <row r="46" spans="1:7" x14ac:dyDescent="0.35">
      <c r="A46" s="3">
        <v>44093</v>
      </c>
      <c r="B46" s="4">
        <v>0.2742</v>
      </c>
      <c r="C46" s="4">
        <v>0.2424</v>
      </c>
      <c r="D46" s="4">
        <v>0.2621</v>
      </c>
      <c r="E46" s="4">
        <v>0.255</v>
      </c>
      <c r="F46" s="5">
        <v>2.7088897367417042E-2</v>
      </c>
      <c r="G46" s="5">
        <v>-2.0807865373109191E-3</v>
      </c>
    </row>
    <row r="47" spans="1:7" x14ac:dyDescent="0.35">
      <c r="A47" s="3">
        <v>44094</v>
      </c>
      <c r="B47" s="4">
        <v>0.25950000000000001</v>
      </c>
      <c r="C47" s="4">
        <v>0.23749999999999999</v>
      </c>
      <c r="D47" s="4">
        <v>0.255</v>
      </c>
      <c r="E47" s="4">
        <v>0.24129999999999999</v>
      </c>
      <c r="F47" s="5">
        <v>5.3725490196078529E-2</v>
      </c>
      <c r="G47" s="5">
        <v>3.6987048044228699E-2</v>
      </c>
    </row>
    <row r="48" spans="1:7" x14ac:dyDescent="0.35">
      <c r="A48" s="3">
        <v>44095</v>
      </c>
      <c r="B48" s="4">
        <v>0.35</v>
      </c>
      <c r="C48" s="4">
        <v>0.22789999999999999</v>
      </c>
      <c r="D48" s="4">
        <v>0.24129999999999999</v>
      </c>
      <c r="E48" s="4">
        <v>0.2442</v>
      </c>
      <c r="F48" s="5">
        <v>-1.2018234562785057E-2</v>
      </c>
      <c r="G48" s="5">
        <v>8.3095250929869025E-2</v>
      </c>
    </row>
    <row r="49" spans="1:7" x14ac:dyDescent="0.35">
      <c r="A49" s="3">
        <v>44096</v>
      </c>
      <c r="B49" s="4">
        <v>0.25750000000000001</v>
      </c>
      <c r="C49" s="4">
        <v>0.23549999999999999</v>
      </c>
      <c r="D49" s="4">
        <v>0.2442</v>
      </c>
      <c r="E49" s="4">
        <v>0.23949999999999999</v>
      </c>
      <c r="F49" s="5">
        <v>1.9246519246519322E-2</v>
      </c>
      <c r="G49" s="5">
        <v>-1.1934507187160159E-2</v>
      </c>
    </row>
    <row r="50" spans="1:7" x14ac:dyDescent="0.35">
      <c r="A50" s="3">
        <v>44097</v>
      </c>
      <c r="B50" s="4">
        <v>0.24229999999999999</v>
      </c>
      <c r="C50" s="4">
        <v>0.20760000000000001</v>
      </c>
      <c r="D50" s="4">
        <v>0.23949999999999999</v>
      </c>
      <c r="E50" s="4">
        <v>0.21029999999999999</v>
      </c>
      <c r="F50" s="5">
        <v>0.12192066805845514</v>
      </c>
      <c r="G50" s="5">
        <v>6.989106753812635E-2</v>
      </c>
    </row>
    <row r="51" spans="1:7" x14ac:dyDescent="0.35">
      <c r="A51" s="3">
        <v>44098</v>
      </c>
      <c r="B51" s="4">
        <v>0.22720000000000001</v>
      </c>
      <c r="C51" s="4">
        <v>0.20710000000000001</v>
      </c>
      <c r="D51" s="4">
        <v>0.21029999999999999</v>
      </c>
      <c r="E51" s="4">
        <v>0.2258</v>
      </c>
      <c r="F51" s="5">
        <v>-7.37042320494532E-2</v>
      </c>
      <c r="G51" s="5">
        <v>-9.0539991879821313E-2</v>
      </c>
    </row>
    <row r="52" spans="1:7" x14ac:dyDescent="0.35">
      <c r="A52" s="3">
        <v>44099</v>
      </c>
      <c r="B52" s="4">
        <v>0.24</v>
      </c>
      <c r="C52" s="4">
        <v>0.21460000000000001</v>
      </c>
      <c r="D52" s="4">
        <v>0.2258</v>
      </c>
      <c r="E52" s="4">
        <v>0.22450000000000001</v>
      </c>
      <c r="F52" s="5">
        <v>5.7573073516385964E-3</v>
      </c>
      <c r="G52" s="5">
        <v>-8.133340970273073E-3</v>
      </c>
    </row>
    <row r="53" spans="1:7" x14ac:dyDescent="0.35">
      <c r="A53" s="3">
        <v>44100</v>
      </c>
      <c r="B53" s="4">
        <v>0.22950000000000001</v>
      </c>
      <c r="C53" s="4">
        <v>0.21759999999999999</v>
      </c>
      <c r="D53" s="4">
        <v>0.22450000000000001</v>
      </c>
      <c r="E53" s="4">
        <v>0.22500000000000001</v>
      </c>
      <c r="F53" s="5">
        <v>-2.2271714922048602E-3</v>
      </c>
      <c r="G53" s="5">
        <v>-6.2780523833874113E-3</v>
      </c>
    </row>
    <row r="54" spans="1:7" x14ac:dyDescent="0.35">
      <c r="A54" s="3">
        <v>44101</v>
      </c>
      <c r="B54" s="4">
        <v>0.22989999999999999</v>
      </c>
      <c r="C54" s="4">
        <v>0.21279999999999999</v>
      </c>
      <c r="D54" s="4">
        <v>0.22500000000000001</v>
      </c>
      <c r="E54" s="4">
        <v>0.21829999999999999</v>
      </c>
      <c r="F54" s="5">
        <v>2.9777777777777792E-2</v>
      </c>
      <c r="G54" s="5">
        <v>-9.8805860599044948E-3</v>
      </c>
    </row>
    <row r="55" spans="1:7" x14ac:dyDescent="0.35">
      <c r="A55" s="3">
        <v>44102</v>
      </c>
      <c r="B55" s="4">
        <v>0.2349</v>
      </c>
      <c r="C55" s="4">
        <v>0.21529999999999999</v>
      </c>
      <c r="D55" s="4">
        <v>0.21829999999999999</v>
      </c>
      <c r="E55" s="4">
        <v>0.2243</v>
      </c>
      <c r="F55" s="5">
        <v>-2.748511223087502E-2</v>
      </c>
      <c r="G55" s="5">
        <v>1.0398904201492809E-2</v>
      </c>
    </row>
    <row r="56" spans="1:7" x14ac:dyDescent="0.35">
      <c r="A56" s="3">
        <v>44103</v>
      </c>
      <c r="B56" s="4">
        <v>0.23039999999999999</v>
      </c>
      <c r="C56" s="4">
        <v>0.2132</v>
      </c>
      <c r="D56" s="4">
        <v>0.2243</v>
      </c>
      <c r="E56" s="4">
        <v>0.2213</v>
      </c>
      <c r="F56" s="5">
        <v>1.3374944271065559E-2</v>
      </c>
      <c r="G56" s="5">
        <v>-1.6694443659783786E-2</v>
      </c>
    </row>
    <row r="57" spans="1:7" x14ac:dyDescent="0.35">
      <c r="A57" s="3">
        <v>44104</v>
      </c>
      <c r="B57" s="4">
        <v>0.22270000000000001</v>
      </c>
      <c r="C57" s="4">
        <v>0.21060000000000001</v>
      </c>
      <c r="D57" s="4">
        <v>0.2213</v>
      </c>
      <c r="E57" s="4">
        <v>0.2157</v>
      </c>
      <c r="F57" s="5">
        <v>2.5305015815634824E-2</v>
      </c>
      <c r="G57" s="5">
        <v>2.7783951989335254E-4</v>
      </c>
    </row>
    <row r="58" spans="1:7" x14ac:dyDescent="0.35">
      <c r="A58" s="3">
        <v>44105</v>
      </c>
      <c r="B58" s="4">
        <v>0.2271</v>
      </c>
      <c r="C58" s="4">
        <v>0.20660000000000001</v>
      </c>
      <c r="D58" s="4">
        <v>0.2157</v>
      </c>
      <c r="E58" s="4">
        <v>0.21490000000000001</v>
      </c>
      <c r="F58" s="5">
        <v>3.7088548910523267E-3</v>
      </c>
      <c r="G58" s="5">
        <v>1.8370296259240804E-2</v>
      </c>
    </row>
    <row r="59" spans="1:7" x14ac:dyDescent="0.35">
      <c r="A59" s="3">
        <v>44106</v>
      </c>
      <c r="B59" s="4">
        <v>0.22189999999999999</v>
      </c>
      <c r="C59" s="4">
        <v>0.19</v>
      </c>
      <c r="D59" s="4">
        <v>0.21490000000000001</v>
      </c>
      <c r="E59" s="4">
        <v>0.19969999999999999</v>
      </c>
      <c r="F59" s="5">
        <v>7.0730572359236965E-2</v>
      </c>
      <c r="G59" s="5">
        <v>2.0894085671413598E-2</v>
      </c>
    </row>
    <row r="60" spans="1:7" x14ac:dyDescent="0.35">
      <c r="A60" s="3">
        <v>44107</v>
      </c>
      <c r="B60" s="4">
        <v>0.20860000000000001</v>
      </c>
      <c r="C60" s="4">
        <v>0.19570000000000001</v>
      </c>
      <c r="D60" s="4">
        <v>0.19969999999999999</v>
      </c>
      <c r="E60" s="4">
        <v>0.20130000000000001</v>
      </c>
      <c r="F60" s="5">
        <v>-8.0120180270406571E-3</v>
      </c>
      <c r="G60" s="5">
        <v>-1.4168811265651282E-3</v>
      </c>
    </row>
    <row r="61" spans="1:7" x14ac:dyDescent="0.35">
      <c r="A61" s="3">
        <v>44108</v>
      </c>
      <c r="B61" s="4">
        <v>0.20669999999999999</v>
      </c>
      <c r="C61" s="4">
        <v>0.1983</v>
      </c>
      <c r="D61" s="4">
        <v>0.20130000000000001</v>
      </c>
      <c r="E61" s="4">
        <v>0.19950000000000001</v>
      </c>
      <c r="F61" s="5">
        <v>8.94187779433675E-3</v>
      </c>
      <c r="G61" s="5">
        <v>-1.816239316239332E-2</v>
      </c>
    </row>
    <row r="62" spans="1:7" x14ac:dyDescent="0.35">
      <c r="A62" s="3">
        <v>44109</v>
      </c>
      <c r="B62" s="4">
        <v>0.2029</v>
      </c>
      <c r="C62" s="4">
        <v>0.1905</v>
      </c>
      <c r="D62" s="4">
        <v>0.19950000000000001</v>
      </c>
      <c r="E62" s="4">
        <v>0.1933</v>
      </c>
      <c r="F62" s="5">
        <v>3.1077694235589037E-2</v>
      </c>
      <c r="G62" s="5">
        <v>-3.2613936076684169E-3</v>
      </c>
    </row>
    <row r="63" spans="1:7" x14ac:dyDescent="0.35">
      <c r="A63" s="3">
        <v>44110</v>
      </c>
      <c r="B63" s="4">
        <v>0.19500000000000001</v>
      </c>
      <c r="C63" s="4">
        <v>0.1719</v>
      </c>
      <c r="D63" s="4">
        <v>0.1933</v>
      </c>
      <c r="E63" s="4">
        <v>0.1734</v>
      </c>
      <c r="F63" s="5">
        <v>0.10294878427315057</v>
      </c>
      <c r="G63" s="5">
        <v>3.6493668023518722E-2</v>
      </c>
    </row>
    <row r="64" spans="1:7" x14ac:dyDescent="0.35">
      <c r="A64" s="3">
        <v>44111</v>
      </c>
      <c r="B64" s="4">
        <v>0.1736</v>
      </c>
      <c r="C64" s="4">
        <v>0.15429999999999999</v>
      </c>
      <c r="D64" s="4">
        <v>0.1734</v>
      </c>
      <c r="E64" s="4">
        <v>0.1678</v>
      </c>
      <c r="F64" s="5">
        <v>3.2295271049596286E-2</v>
      </c>
      <c r="G64" s="5">
        <v>-3.1098723778788528E-3</v>
      </c>
    </row>
    <row r="65" spans="1:7" x14ac:dyDescent="0.35">
      <c r="A65" s="3">
        <v>44112</v>
      </c>
      <c r="B65" s="4">
        <v>0.19389999999999999</v>
      </c>
      <c r="C65" s="4">
        <v>0.16450000000000001</v>
      </c>
      <c r="D65" s="4">
        <v>0.1678</v>
      </c>
      <c r="E65" s="4">
        <v>0.185</v>
      </c>
      <c r="F65" s="5">
        <v>-0.102502979737783</v>
      </c>
      <c r="G65" s="5">
        <v>-2.7170892925038714E-2</v>
      </c>
    </row>
    <row r="66" spans="1:7" x14ac:dyDescent="0.35">
      <c r="A66" s="3">
        <v>44113</v>
      </c>
      <c r="B66" s="4">
        <v>0.2</v>
      </c>
      <c r="C66" s="4">
        <v>0.1784</v>
      </c>
      <c r="D66" s="4">
        <v>0.185</v>
      </c>
      <c r="E66" s="4">
        <v>0.19689999999999999</v>
      </c>
      <c r="F66" s="5">
        <v>-6.4324324324324333E-2</v>
      </c>
      <c r="G66" s="5">
        <v>-4.0461275626423765E-2</v>
      </c>
    </row>
    <row r="67" spans="1:7" x14ac:dyDescent="0.35">
      <c r="A67" s="3">
        <v>44114</v>
      </c>
      <c r="B67" s="4">
        <v>0.21229999999999999</v>
      </c>
      <c r="C67" s="4">
        <v>0.1948</v>
      </c>
      <c r="D67" s="4">
        <v>0.19689999999999999</v>
      </c>
      <c r="E67" s="4">
        <v>0.20910000000000001</v>
      </c>
      <c r="F67" s="5">
        <v>-6.1960385982732458E-2</v>
      </c>
      <c r="G67" s="5">
        <v>-1.4969486330423276E-2</v>
      </c>
    </row>
    <row r="68" spans="1:7" x14ac:dyDescent="0.35">
      <c r="A68" s="3">
        <v>44115</v>
      </c>
      <c r="B68" s="4">
        <v>0.21290000000000001</v>
      </c>
      <c r="C68" s="4">
        <v>0.19089999999999999</v>
      </c>
      <c r="D68" s="4">
        <v>0.20910000000000001</v>
      </c>
      <c r="E68" s="4">
        <v>0.19450000000000001</v>
      </c>
      <c r="F68" s="5">
        <v>6.9823051171688189E-2</v>
      </c>
      <c r="G68" s="5">
        <v>-9.4100517687663032E-3</v>
      </c>
    </row>
    <row r="69" spans="1:7" x14ac:dyDescent="0.35">
      <c r="A69" s="3">
        <v>44116</v>
      </c>
      <c r="B69" s="4">
        <v>0.20369999999999999</v>
      </c>
      <c r="C69" s="4">
        <v>0.1883</v>
      </c>
      <c r="D69" s="4">
        <v>0.19450000000000001</v>
      </c>
      <c r="E69" s="4">
        <v>0.19839999999999999</v>
      </c>
      <c r="F69" s="5">
        <v>-2.0051413881748026E-2</v>
      </c>
      <c r="G69" s="5">
        <v>-3.3496273739882954E-2</v>
      </c>
    </row>
    <row r="70" spans="1:7" x14ac:dyDescent="0.35">
      <c r="A70" s="3">
        <v>44117</v>
      </c>
      <c r="B70" s="4">
        <v>0.19839999999999999</v>
      </c>
      <c r="C70" s="4">
        <v>0.18659999999999999</v>
      </c>
      <c r="D70" s="4">
        <v>0.19839999999999999</v>
      </c>
      <c r="E70" s="4">
        <v>0.18890000000000001</v>
      </c>
      <c r="F70" s="5">
        <v>4.7883064516128893E-2</v>
      </c>
      <c r="G70" s="5">
        <v>1.421519216355227E-2</v>
      </c>
    </row>
    <row r="71" spans="1:7" x14ac:dyDescent="0.35">
      <c r="A71" s="3">
        <v>44118</v>
      </c>
      <c r="B71" s="4">
        <v>0.19270000000000001</v>
      </c>
      <c r="C71" s="4">
        <v>0.17749999999999999</v>
      </c>
      <c r="D71" s="4">
        <v>0.18890000000000001</v>
      </c>
      <c r="E71" s="4">
        <v>0.18029999999999999</v>
      </c>
      <c r="F71" s="5">
        <v>4.552673372154592E-2</v>
      </c>
      <c r="G71" s="5">
        <v>6.0302561547941336E-3</v>
      </c>
    </row>
    <row r="72" spans="1:7" x14ac:dyDescent="0.35">
      <c r="A72" s="3">
        <v>44119</v>
      </c>
      <c r="B72" s="4">
        <v>0.18729999999999999</v>
      </c>
      <c r="C72" s="4">
        <v>0.17660000000000001</v>
      </c>
      <c r="D72" s="4">
        <v>0.18029999999999999</v>
      </c>
      <c r="E72" s="4">
        <v>0.18390000000000001</v>
      </c>
      <c r="F72" s="5">
        <v>-1.9966722129783898E-2</v>
      </c>
      <c r="G72" s="5">
        <v>3.7192371607185359E-3</v>
      </c>
    </row>
    <row r="73" spans="1:7" x14ac:dyDescent="0.35">
      <c r="A73" s="3">
        <v>44120</v>
      </c>
      <c r="B73" s="4">
        <v>0.18429999999999999</v>
      </c>
      <c r="C73" s="4">
        <v>0.16689999999999999</v>
      </c>
      <c r="D73" s="4">
        <v>0.18390000000000001</v>
      </c>
      <c r="E73" s="4">
        <v>0.16930000000000001</v>
      </c>
      <c r="F73" s="5">
        <v>7.9390973355084271E-2</v>
      </c>
      <c r="G73" s="5">
        <v>3.2088959491660018E-2</v>
      </c>
    </row>
    <row r="74" spans="1:7" x14ac:dyDescent="0.35">
      <c r="A74" s="3">
        <v>44121</v>
      </c>
      <c r="B74" s="4">
        <v>0.18229999999999999</v>
      </c>
      <c r="C74" s="4">
        <v>0.16789999999999999</v>
      </c>
      <c r="D74" s="4">
        <v>0.16930000000000001</v>
      </c>
      <c r="E74" s="4">
        <v>0.17150000000000001</v>
      </c>
      <c r="F74" s="5">
        <v>-1.2994683992912037E-2</v>
      </c>
      <c r="G74" s="5">
        <v>-8.3976147491657827E-3</v>
      </c>
    </row>
    <row r="75" spans="1:7" x14ac:dyDescent="0.35">
      <c r="A75" s="3">
        <v>44122</v>
      </c>
      <c r="B75" s="4">
        <v>0.182</v>
      </c>
      <c r="C75" s="4">
        <v>0.17100000000000001</v>
      </c>
      <c r="D75" s="4">
        <v>0.17150000000000001</v>
      </c>
      <c r="E75" s="4">
        <v>0.17599999999999999</v>
      </c>
      <c r="F75" s="5">
        <v>-2.6239067055393361E-2</v>
      </c>
      <c r="G75" s="5">
        <v>-2.6556354265563575E-2</v>
      </c>
    </row>
    <row r="76" spans="1:7" x14ac:dyDescent="0.35">
      <c r="A76" s="3">
        <v>44123</v>
      </c>
      <c r="B76" s="4">
        <v>0.17799999999999999</v>
      </c>
      <c r="C76" s="4">
        <v>0.16800000000000001</v>
      </c>
      <c r="D76" s="4">
        <v>0.17599999999999999</v>
      </c>
      <c r="E76" s="4">
        <v>0.1714</v>
      </c>
      <c r="F76" s="5">
        <v>2.6136363636363624E-2</v>
      </c>
      <c r="G76" s="5">
        <v>-2.5631540006343378E-3</v>
      </c>
    </row>
    <row r="77" spans="1:7" x14ac:dyDescent="0.35">
      <c r="A77" s="3">
        <v>44124</v>
      </c>
      <c r="B77" s="4">
        <v>0.17530000000000001</v>
      </c>
      <c r="C77" s="4">
        <v>0.15659999999999999</v>
      </c>
      <c r="D77" s="4">
        <v>0.1714</v>
      </c>
      <c r="E77" s="4">
        <v>0.15840000000000001</v>
      </c>
      <c r="F77" s="5">
        <v>7.5845974329054711E-2</v>
      </c>
      <c r="G77" s="5">
        <v>2.8122611422998878E-2</v>
      </c>
    </row>
    <row r="78" spans="1:7" x14ac:dyDescent="0.35">
      <c r="A78" s="3">
        <v>44125</v>
      </c>
      <c r="B78" s="4">
        <v>0.17460000000000001</v>
      </c>
      <c r="C78" s="4">
        <v>0.15770000000000001</v>
      </c>
      <c r="D78" s="4">
        <v>0.15840000000000001</v>
      </c>
      <c r="E78" s="4">
        <v>0.16569999999999999</v>
      </c>
      <c r="F78" s="5">
        <v>-4.6085858585858341E-2</v>
      </c>
      <c r="G78" s="5">
        <v>-6.1615230243531993E-2</v>
      </c>
    </row>
    <row r="79" spans="1:7" x14ac:dyDescent="0.35">
      <c r="A79" s="3">
        <v>44126</v>
      </c>
      <c r="B79" s="4">
        <v>0.1749</v>
      </c>
      <c r="C79" s="4">
        <v>0.1656</v>
      </c>
      <c r="D79" s="4">
        <v>0.16569999999999999</v>
      </c>
      <c r="E79" s="4">
        <v>0.17030000000000001</v>
      </c>
      <c r="F79" s="5">
        <v>-2.7761013880507113E-2</v>
      </c>
      <c r="G79" s="5">
        <v>-5.8856588157155221E-2</v>
      </c>
    </row>
    <row r="80" spans="1:7" x14ac:dyDescent="0.35">
      <c r="A80" s="3">
        <v>44127</v>
      </c>
      <c r="B80" s="4">
        <v>0.1716</v>
      </c>
      <c r="C80" s="4">
        <v>0.16239999999999999</v>
      </c>
      <c r="D80" s="4">
        <v>0.17030000000000001</v>
      </c>
      <c r="E80" s="4">
        <v>0.16600000000000001</v>
      </c>
      <c r="F80" s="5">
        <v>2.524955960070463E-2</v>
      </c>
      <c r="G80" s="5">
        <v>1.189384800965021E-2</v>
      </c>
    </row>
    <row r="81" spans="1:7" x14ac:dyDescent="0.35">
      <c r="A81" s="3">
        <v>44128</v>
      </c>
      <c r="B81" s="4">
        <v>0.1686</v>
      </c>
      <c r="C81" s="4">
        <v>0.16320000000000001</v>
      </c>
      <c r="D81" s="4">
        <v>0.16600000000000001</v>
      </c>
      <c r="E81" s="4">
        <v>0.1666</v>
      </c>
      <c r="F81" s="5">
        <v>-3.6144578313253017E-3</v>
      </c>
      <c r="G81" s="5">
        <v>-7.275923529555417E-3</v>
      </c>
    </row>
    <row r="82" spans="1:7" x14ac:dyDescent="0.35">
      <c r="A82" s="3">
        <v>44129</v>
      </c>
      <c r="B82" s="4">
        <v>0.17080000000000001</v>
      </c>
      <c r="C82" s="4">
        <v>0.16420000000000001</v>
      </c>
      <c r="D82" s="4">
        <v>0.1666</v>
      </c>
      <c r="E82" s="4">
        <v>0.16420000000000001</v>
      </c>
      <c r="F82" s="5">
        <v>1.4405762304921854E-2</v>
      </c>
      <c r="G82" s="5">
        <v>1.5004241910071547E-2</v>
      </c>
    </row>
    <row r="83" spans="1:7" x14ac:dyDescent="0.35">
      <c r="A83" s="3">
        <v>44130</v>
      </c>
      <c r="B83" s="4">
        <v>0.16789999999999999</v>
      </c>
      <c r="C83" s="4">
        <v>0.15049999999999999</v>
      </c>
      <c r="D83" s="4">
        <v>0.16420000000000001</v>
      </c>
      <c r="E83" s="4">
        <v>0.157</v>
      </c>
      <c r="F83" s="5">
        <v>4.384896467722299E-2</v>
      </c>
      <c r="G83" s="5">
        <v>3.2606555763362577E-2</v>
      </c>
    </row>
    <row r="84" spans="1:7" x14ac:dyDescent="0.35">
      <c r="A84" s="3">
        <v>44131</v>
      </c>
      <c r="B84" s="4">
        <v>0.16139999999999999</v>
      </c>
      <c r="C84" s="4">
        <v>0.1537</v>
      </c>
      <c r="D84" s="4">
        <v>0.157</v>
      </c>
      <c r="E84" s="4">
        <v>0.15540000000000001</v>
      </c>
      <c r="F84" s="5">
        <v>1.0191082802547657E-2</v>
      </c>
      <c r="G84" s="5">
        <v>-2.7040777390552329E-2</v>
      </c>
    </row>
    <row r="85" spans="1:7" x14ac:dyDescent="0.35">
      <c r="A85" s="3">
        <v>44132</v>
      </c>
      <c r="B85" s="4">
        <v>0.15909999999999999</v>
      </c>
      <c r="C85" s="4">
        <v>0.14030000000000001</v>
      </c>
      <c r="D85" s="4">
        <v>0.15540000000000001</v>
      </c>
      <c r="E85" s="4">
        <v>0.1452</v>
      </c>
      <c r="F85" s="5">
        <v>6.5637065637065728E-2</v>
      </c>
      <c r="G85" s="5">
        <v>3.7078317729231758E-2</v>
      </c>
    </row>
    <row r="86" spans="1:7" x14ac:dyDescent="0.35">
      <c r="A86" s="3">
        <v>44133</v>
      </c>
      <c r="B86" s="4">
        <v>0.1464</v>
      </c>
      <c r="C86" s="4">
        <v>0.1303</v>
      </c>
      <c r="D86" s="4">
        <v>0.1452</v>
      </c>
      <c r="E86" s="4">
        <v>0.13339999999999999</v>
      </c>
      <c r="F86" s="5">
        <v>8.1267217630853983E-2</v>
      </c>
      <c r="G86" s="5">
        <v>3.163824369164181E-3</v>
      </c>
    </row>
    <row r="87" spans="1:7" x14ac:dyDescent="0.35">
      <c r="A87" s="3">
        <v>44134</v>
      </c>
      <c r="B87" s="4">
        <v>0.1363</v>
      </c>
      <c r="C87" s="4">
        <v>0.12</v>
      </c>
      <c r="D87" s="4">
        <v>0.13339999999999999</v>
      </c>
      <c r="E87" s="4">
        <v>0.12809999999999999</v>
      </c>
      <c r="F87" s="5">
        <v>3.9730134932533745E-2</v>
      </c>
      <c r="G87" s="5">
        <v>1.2334210662125256E-2</v>
      </c>
    </row>
    <row r="88" spans="1:7" x14ac:dyDescent="0.35">
      <c r="A88" s="3">
        <v>44135</v>
      </c>
      <c r="B88" s="4">
        <v>0.1449</v>
      </c>
      <c r="C88" s="4">
        <v>0.12670000000000001</v>
      </c>
      <c r="D88" s="4">
        <v>0.12809999999999999</v>
      </c>
      <c r="E88" s="4">
        <v>0.14269999999999999</v>
      </c>
      <c r="F88" s="5">
        <v>-0.11397345823575344</v>
      </c>
      <c r="G88" s="5">
        <v>-1.0476538823283477E-2</v>
      </c>
    </row>
    <row r="89" spans="1:7" x14ac:dyDescent="0.35">
      <c r="A89" s="3">
        <v>44136</v>
      </c>
      <c r="B89" s="4">
        <v>0.1638</v>
      </c>
      <c r="C89" s="4">
        <v>0.14169999999999999</v>
      </c>
      <c r="D89" s="4">
        <v>0.14269999999999999</v>
      </c>
      <c r="E89" s="4">
        <v>0.14899999999999999</v>
      </c>
      <c r="F89" s="5">
        <v>-4.414856341976181E-2</v>
      </c>
      <c r="G89" s="5">
        <v>-2.5803449078263707E-2</v>
      </c>
    </row>
    <row r="90" spans="1:7" x14ac:dyDescent="0.35">
      <c r="A90" s="3">
        <v>44137</v>
      </c>
      <c r="B90" s="4">
        <v>0.1517</v>
      </c>
      <c r="C90" s="4">
        <v>0.13650000000000001</v>
      </c>
      <c r="D90" s="4">
        <v>0.14899999999999999</v>
      </c>
      <c r="E90" s="4">
        <v>0.1394</v>
      </c>
      <c r="F90" s="5">
        <v>6.4429530201342233E-2</v>
      </c>
      <c r="G90" s="5">
        <v>3.3119092627599156E-2</v>
      </c>
    </row>
    <row r="91" spans="1:7" x14ac:dyDescent="0.35">
      <c r="A91" s="3">
        <v>44138</v>
      </c>
      <c r="B91" s="4">
        <v>0.1394</v>
      </c>
      <c r="C91" s="4">
        <v>0.1295</v>
      </c>
      <c r="D91" s="4">
        <v>0.1394</v>
      </c>
      <c r="E91" s="4">
        <v>0.13139999999999999</v>
      </c>
      <c r="F91" s="5">
        <v>5.7388809182209566E-2</v>
      </c>
      <c r="G91" s="5">
        <v>-1.191314095044449E-2</v>
      </c>
    </row>
    <row r="92" spans="1:7" x14ac:dyDescent="0.35">
      <c r="A92" s="3">
        <v>44139</v>
      </c>
      <c r="B92" s="4">
        <v>0.13139999999999999</v>
      </c>
      <c r="C92" s="4">
        <v>0.13039999999999999</v>
      </c>
      <c r="D92" s="4">
        <v>0.13139999999999999</v>
      </c>
      <c r="E92" s="4">
        <v>0.13059999999999999</v>
      </c>
      <c r="F92" s="5">
        <v>6.0882800608828003E-3</v>
      </c>
      <c r="G92" s="5">
        <v>-1.5456746870001759E-4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C15C-AF6C-499F-B11F-F0CBAA8A8271}">
  <sheetPr codeName="Sheet14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1.65</v>
      </c>
      <c r="C2" s="4">
        <v>1.5029999999999999</v>
      </c>
      <c r="D2" s="4">
        <v>1.5289999999999999</v>
      </c>
      <c r="E2" s="4">
        <v>1.605</v>
      </c>
    </row>
    <row r="3" spans="1:7" x14ac:dyDescent="0.35">
      <c r="A3" s="3">
        <v>44050</v>
      </c>
      <c r="B3" s="4">
        <v>1.64</v>
      </c>
      <c r="C3" s="4">
        <v>1.452</v>
      </c>
      <c r="D3" s="4">
        <v>1.605</v>
      </c>
      <c r="E3" s="4">
        <v>1.53</v>
      </c>
      <c r="F3" s="5">
        <v>4.6728971962616828E-2</v>
      </c>
      <c r="G3" s="5">
        <v>3.9160591332523365E-2</v>
      </c>
    </row>
    <row r="4" spans="1:7" x14ac:dyDescent="0.35">
      <c r="A4" s="3">
        <v>44051</v>
      </c>
      <c r="B4" s="4">
        <v>1.74</v>
      </c>
      <c r="C4" s="4">
        <v>1.5129999999999999</v>
      </c>
      <c r="D4" s="4">
        <v>1.53</v>
      </c>
      <c r="E4" s="4">
        <v>1.6839999999999999</v>
      </c>
      <c r="F4" s="5">
        <v>-0.10065359477124169</v>
      </c>
      <c r="G4" s="5">
        <v>-4.739573728166091E-2</v>
      </c>
    </row>
    <row r="5" spans="1:7" x14ac:dyDescent="0.35">
      <c r="A5" s="3">
        <v>44052</v>
      </c>
      <c r="B5" s="4">
        <v>1.8240000000000001</v>
      </c>
      <c r="C5" s="4">
        <v>1.625</v>
      </c>
      <c r="D5" s="4">
        <v>1.6839999999999999</v>
      </c>
      <c r="E5" s="4">
        <v>1.7869999999999999</v>
      </c>
      <c r="F5" s="5">
        <v>-6.1163895486935793E-2</v>
      </c>
      <c r="G5" s="5">
        <v>1.8311701378408318E-2</v>
      </c>
    </row>
    <row r="6" spans="1:7" x14ac:dyDescent="0.35">
      <c r="A6" s="3">
        <v>44053</v>
      </c>
      <c r="B6" s="4">
        <v>1.8049999999999999</v>
      </c>
      <c r="C6" s="4">
        <v>1.6020000000000001</v>
      </c>
      <c r="D6" s="4">
        <v>1.7869999999999999</v>
      </c>
      <c r="E6" s="4">
        <v>1.7150000000000001</v>
      </c>
      <c r="F6" s="5">
        <v>4.0290990486849365E-2</v>
      </c>
      <c r="G6" s="5">
        <v>-1.3913088039356314E-2</v>
      </c>
    </row>
    <row r="7" spans="1:7" x14ac:dyDescent="0.35">
      <c r="A7" s="3">
        <v>44054</v>
      </c>
      <c r="B7" s="4">
        <v>1.736</v>
      </c>
      <c r="C7" s="4">
        <v>1.508</v>
      </c>
      <c r="D7" s="4">
        <v>1.7150000000000001</v>
      </c>
      <c r="E7" s="4">
        <v>1.6080000000000001</v>
      </c>
      <c r="F7" s="5">
        <v>6.2390670553935879E-2</v>
      </c>
      <c r="G7" s="5">
        <v>4.2379520355816047E-2</v>
      </c>
    </row>
    <row r="8" spans="1:7" x14ac:dyDescent="0.35">
      <c r="A8" s="3">
        <v>44055</v>
      </c>
      <c r="B8" s="4">
        <v>1.7310000000000001</v>
      </c>
      <c r="C8" s="4">
        <v>1.546</v>
      </c>
      <c r="D8" s="4">
        <v>1.6080000000000001</v>
      </c>
      <c r="E8" s="4">
        <v>1.6819999999999999</v>
      </c>
      <c r="F8" s="5">
        <v>-4.6019900497512367E-2</v>
      </c>
      <c r="G8" s="5">
        <v>-2.1771256663323912E-2</v>
      </c>
    </row>
    <row r="9" spans="1:7" x14ac:dyDescent="0.35">
      <c r="A9" s="3">
        <v>44056</v>
      </c>
      <c r="B9" s="4">
        <v>1.988</v>
      </c>
      <c r="C9" s="4">
        <v>1.61</v>
      </c>
      <c r="D9" s="4">
        <v>1.6819999999999999</v>
      </c>
      <c r="E9" s="4">
        <v>1.7490000000000001</v>
      </c>
      <c r="F9" s="5">
        <v>-3.9833531510107045E-2</v>
      </c>
      <c r="G9" s="5">
        <v>-9.7574834060797144E-2</v>
      </c>
    </row>
    <row r="10" spans="1:7" x14ac:dyDescent="0.35">
      <c r="A10" s="3">
        <v>44057</v>
      </c>
      <c r="B10" s="4">
        <v>2.0499999999999998</v>
      </c>
      <c r="C10" s="4">
        <v>1.706</v>
      </c>
      <c r="D10" s="4">
        <v>1.7490000000000001</v>
      </c>
      <c r="E10" s="4">
        <v>1.8740000000000001</v>
      </c>
      <c r="F10" s="5">
        <v>-7.1469411092052626E-2</v>
      </c>
      <c r="G10" s="5">
        <v>-3.1861072546297331E-2</v>
      </c>
    </row>
    <row r="11" spans="1:7" x14ac:dyDescent="0.35">
      <c r="A11" s="3">
        <v>44058</v>
      </c>
      <c r="B11" s="4">
        <v>1.988</v>
      </c>
      <c r="C11" s="4">
        <v>1.8</v>
      </c>
      <c r="D11" s="4">
        <v>1.8740000000000001</v>
      </c>
      <c r="E11" s="4">
        <v>1.8420000000000001</v>
      </c>
      <c r="F11" s="5">
        <v>1.7075773745997891E-2</v>
      </c>
      <c r="G11" s="5">
        <v>1.3545871245809638E-2</v>
      </c>
    </row>
    <row r="12" spans="1:7" x14ac:dyDescent="0.35">
      <c r="A12" s="3">
        <v>44059</v>
      </c>
      <c r="B12" s="4">
        <v>1.94</v>
      </c>
      <c r="C12" s="4">
        <v>1.8</v>
      </c>
      <c r="D12" s="4">
        <v>1.8420000000000001</v>
      </c>
      <c r="E12" s="4">
        <v>1.8779999999999999</v>
      </c>
      <c r="F12" s="5">
        <v>-1.9543973941367865E-2</v>
      </c>
      <c r="G12" s="5">
        <v>-2.9590586494672166E-3</v>
      </c>
    </row>
    <row r="13" spans="1:7" x14ac:dyDescent="0.35">
      <c r="A13" s="3">
        <v>44060</v>
      </c>
      <c r="B13" s="4">
        <v>1.948</v>
      </c>
      <c r="C13" s="4">
        <v>1.7549999999999999</v>
      </c>
      <c r="D13" s="4">
        <v>1.8779999999999999</v>
      </c>
      <c r="E13" s="4">
        <v>1.776</v>
      </c>
      <c r="F13" s="5">
        <v>5.4313099041533475E-2</v>
      </c>
      <c r="G13" s="5">
        <v>5.9698052322232353E-3</v>
      </c>
    </row>
    <row r="14" spans="1:7" x14ac:dyDescent="0.35">
      <c r="A14" s="3">
        <v>44061</v>
      </c>
      <c r="B14" s="4">
        <v>1.8129999999999999</v>
      </c>
      <c r="C14" s="4">
        <v>1.63</v>
      </c>
      <c r="D14" s="4">
        <v>1.776</v>
      </c>
      <c r="E14" s="4">
        <v>1.675</v>
      </c>
      <c r="F14" s="5">
        <v>5.6869369369369371E-2</v>
      </c>
      <c r="G14" s="5">
        <v>2.1031396373417444E-2</v>
      </c>
    </row>
    <row r="15" spans="1:7" x14ac:dyDescent="0.35">
      <c r="A15" s="3">
        <v>44062</v>
      </c>
      <c r="B15" s="4">
        <v>1.732</v>
      </c>
      <c r="C15" s="4">
        <v>1.5109999999999999</v>
      </c>
      <c r="D15" s="4">
        <v>1.675</v>
      </c>
      <c r="E15" s="4">
        <v>1.593</v>
      </c>
      <c r="F15" s="5">
        <v>4.8955223880597032E-2</v>
      </c>
      <c r="G15" s="5">
        <v>3.3965750017764473E-2</v>
      </c>
    </row>
    <row r="16" spans="1:7" x14ac:dyDescent="0.35">
      <c r="A16" s="3">
        <v>44063</v>
      </c>
      <c r="B16" s="4">
        <v>1.825</v>
      </c>
      <c r="C16" s="4">
        <v>1.5569999999999999</v>
      </c>
      <c r="D16" s="4">
        <v>1.593</v>
      </c>
      <c r="E16" s="4">
        <v>1.71</v>
      </c>
      <c r="F16" s="5">
        <v>-7.344632768361592E-2</v>
      </c>
      <c r="G16" s="5">
        <v>-2.0080912100036707E-2</v>
      </c>
    </row>
    <row r="17" spans="1:7" x14ac:dyDescent="0.35">
      <c r="A17" s="3">
        <v>44064</v>
      </c>
      <c r="B17" s="4">
        <v>1.9379999999999999</v>
      </c>
      <c r="C17" s="4">
        <v>1.645</v>
      </c>
      <c r="D17" s="4">
        <v>1.71</v>
      </c>
      <c r="E17" s="4">
        <v>1.649</v>
      </c>
      <c r="F17" s="5">
        <v>3.5672514619882967E-2</v>
      </c>
      <c r="G17" s="5">
        <v>6.7445437938659758E-2</v>
      </c>
    </row>
    <row r="18" spans="1:7" x14ac:dyDescent="0.35">
      <c r="A18" s="3">
        <v>44065</v>
      </c>
      <c r="B18" s="4">
        <v>1.7490000000000001</v>
      </c>
      <c r="C18" s="4">
        <v>1.5549999999999999</v>
      </c>
      <c r="D18" s="4">
        <v>1.649</v>
      </c>
      <c r="E18" s="4">
        <v>1.72</v>
      </c>
      <c r="F18" s="5">
        <v>-4.3056397816858771E-2</v>
      </c>
      <c r="G18" s="5">
        <v>-1.9279344296097678E-2</v>
      </c>
    </row>
    <row r="19" spans="1:7" x14ac:dyDescent="0.35">
      <c r="A19" s="3">
        <v>44066</v>
      </c>
      <c r="B19" s="4">
        <v>1.7729999999999999</v>
      </c>
      <c r="C19" s="4">
        <v>1.6439999999999999</v>
      </c>
      <c r="D19" s="4">
        <v>1.72</v>
      </c>
      <c r="E19" s="4">
        <v>1.7130000000000001</v>
      </c>
      <c r="F19" s="5">
        <v>4.0697674418603835E-3</v>
      </c>
      <c r="G19" s="5">
        <v>1.1986041571840245E-2</v>
      </c>
    </row>
    <row r="20" spans="1:7" x14ac:dyDescent="0.35">
      <c r="A20" s="3">
        <v>44067</v>
      </c>
      <c r="B20" s="4">
        <v>1.7310000000000001</v>
      </c>
      <c r="C20" s="4">
        <v>1.665</v>
      </c>
      <c r="D20" s="4">
        <v>1.7130000000000001</v>
      </c>
      <c r="E20" s="4">
        <v>1.6859999999999999</v>
      </c>
      <c r="F20" s="5">
        <v>1.5761821366024553E-2</v>
      </c>
      <c r="G20" s="5">
        <v>-4.4302825552825498E-2</v>
      </c>
    </row>
    <row r="21" spans="1:7" x14ac:dyDescent="0.35">
      <c r="A21" s="3">
        <v>44068</v>
      </c>
      <c r="B21" s="4">
        <v>1.6950000000000001</v>
      </c>
      <c r="C21" s="4">
        <v>1.53</v>
      </c>
      <c r="D21" s="4">
        <v>1.6859999999999999</v>
      </c>
      <c r="E21" s="4">
        <v>1.5860000000000001</v>
      </c>
      <c r="F21" s="5">
        <v>5.9311981020165994E-2</v>
      </c>
      <c r="G21" s="5">
        <v>6.051025659877951E-2</v>
      </c>
    </row>
    <row r="22" spans="1:7" x14ac:dyDescent="0.35">
      <c r="A22" s="3">
        <v>44069</v>
      </c>
      <c r="B22" s="4">
        <v>1.65</v>
      </c>
      <c r="C22" s="4">
        <v>1.5569999999999999</v>
      </c>
      <c r="D22" s="4">
        <v>1.5860000000000001</v>
      </c>
      <c r="E22" s="4">
        <v>1.6279999999999999</v>
      </c>
      <c r="F22" s="5">
        <v>-2.6481715006305029E-2</v>
      </c>
      <c r="G22" s="5">
        <v>-6.9911827620390277E-3</v>
      </c>
    </row>
    <row r="23" spans="1:7" x14ac:dyDescent="0.35">
      <c r="A23" s="3">
        <v>44070</v>
      </c>
      <c r="B23" s="4">
        <v>1.645</v>
      </c>
      <c r="C23" s="4">
        <v>1.5009999999999999</v>
      </c>
      <c r="D23" s="4">
        <v>1.6279999999999999</v>
      </c>
      <c r="E23" s="4">
        <v>1.55</v>
      </c>
      <c r="F23" s="5">
        <v>4.7911547911547836E-2</v>
      </c>
      <c r="G23" s="5">
        <v>7.8493342313868952E-3</v>
      </c>
    </row>
    <row r="24" spans="1:7" x14ac:dyDescent="0.35">
      <c r="A24" s="3">
        <v>44071</v>
      </c>
      <c r="B24" s="4">
        <v>1.63</v>
      </c>
      <c r="C24" s="4">
        <v>1.5169999999999999</v>
      </c>
      <c r="D24" s="4">
        <v>1.55</v>
      </c>
      <c r="E24" s="4">
        <v>1.59</v>
      </c>
      <c r="F24" s="5">
        <v>-2.5806451612903292E-2</v>
      </c>
      <c r="G24" s="5">
        <v>-3.2768479594767586E-2</v>
      </c>
    </row>
    <row r="25" spans="1:7" x14ac:dyDescent="0.35">
      <c r="A25" s="3">
        <v>44072</v>
      </c>
      <c r="B25" s="4">
        <v>1.712</v>
      </c>
      <c r="C25" s="4">
        <v>1.581</v>
      </c>
      <c r="D25" s="4">
        <v>1.59</v>
      </c>
      <c r="E25" s="4">
        <v>1.655</v>
      </c>
      <c r="F25" s="5">
        <v>-4.0880503144653968E-2</v>
      </c>
      <c r="G25" s="5">
        <v>-8.6211255498811479E-3</v>
      </c>
    </row>
    <row r="26" spans="1:7" x14ac:dyDescent="0.35">
      <c r="A26" s="3">
        <v>44073</v>
      </c>
      <c r="B26" s="4">
        <v>1.7969999999999999</v>
      </c>
      <c r="C26" s="4">
        <v>1.6439999999999999</v>
      </c>
      <c r="D26" s="4">
        <v>1.655</v>
      </c>
      <c r="E26" s="4">
        <v>1.7050000000000001</v>
      </c>
      <c r="F26" s="5">
        <v>-3.0211480362537735E-2</v>
      </c>
      <c r="G26" s="5">
        <v>-7.5773906504574606E-2</v>
      </c>
    </row>
    <row r="27" spans="1:7" x14ac:dyDescent="0.35">
      <c r="A27" s="3">
        <v>44074</v>
      </c>
      <c r="B27" s="4">
        <v>1.8460000000000001</v>
      </c>
      <c r="C27" s="4">
        <v>1.704</v>
      </c>
      <c r="D27" s="4">
        <v>1.7050000000000001</v>
      </c>
      <c r="E27" s="4">
        <v>1.806</v>
      </c>
      <c r="F27" s="5">
        <v>-5.9237536656891576E-2</v>
      </c>
      <c r="G27" s="5">
        <v>-1.1556922503378475E-2</v>
      </c>
    </row>
    <row r="28" spans="1:7" x14ac:dyDescent="0.35">
      <c r="A28" s="3">
        <v>44075</v>
      </c>
      <c r="B28" s="4">
        <v>1.859</v>
      </c>
      <c r="C28" s="4">
        <v>1.73</v>
      </c>
      <c r="D28" s="4">
        <v>1.806</v>
      </c>
      <c r="E28" s="4">
        <v>1.74</v>
      </c>
      <c r="F28" s="5">
        <v>3.6544850498338888E-2</v>
      </c>
      <c r="G28" s="5">
        <v>-9.6397475468742888E-2</v>
      </c>
    </row>
    <row r="29" spans="1:7" x14ac:dyDescent="0.35">
      <c r="A29" s="3">
        <v>44076</v>
      </c>
      <c r="B29" s="4">
        <v>1.752</v>
      </c>
      <c r="C29" s="4">
        <v>1.57</v>
      </c>
      <c r="D29" s="4">
        <v>1.74</v>
      </c>
      <c r="E29" s="4">
        <v>1.659</v>
      </c>
      <c r="F29" s="5">
        <v>4.6551724137930961E-2</v>
      </c>
      <c r="G29" s="5">
        <v>7.5967982520641186E-2</v>
      </c>
    </row>
    <row r="30" spans="1:7" x14ac:dyDescent="0.35">
      <c r="A30" s="3">
        <v>44077</v>
      </c>
      <c r="B30" s="4">
        <v>1.669</v>
      </c>
      <c r="C30" s="4">
        <v>1.234</v>
      </c>
      <c r="D30" s="4">
        <v>1.659</v>
      </c>
      <c r="E30" s="4">
        <v>1.2689999999999999</v>
      </c>
      <c r="F30" s="5">
        <v>0.2350813743218807</v>
      </c>
      <c r="G30" s="5">
        <v>0.1304367596571403</v>
      </c>
    </row>
    <row r="31" spans="1:7" x14ac:dyDescent="0.35">
      <c r="A31" s="3">
        <v>44078</v>
      </c>
      <c r="B31" s="4">
        <v>1.411</v>
      </c>
      <c r="C31" s="4">
        <v>1.242</v>
      </c>
      <c r="D31" s="4">
        <v>1.2689999999999999</v>
      </c>
      <c r="E31" s="4">
        <v>1.3420000000000001</v>
      </c>
      <c r="F31" s="5">
        <v>-5.7525610717100273E-2</v>
      </c>
      <c r="G31" s="5">
        <v>-9.0205511687497797E-3</v>
      </c>
    </row>
    <row r="32" spans="1:7" x14ac:dyDescent="0.35">
      <c r="A32" s="3">
        <v>44079</v>
      </c>
      <c r="B32" s="4">
        <v>1.4470000000000001</v>
      </c>
      <c r="C32" s="4">
        <v>1.0389999999999999</v>
      </c>
      <c r="D32" s="4">
        <v>1.3420000000000001</v>
      </c>
      <c r="E32" s="4">
        <v>1.1830000000000001</v>
      </c>
      <c r="F32" s="5">
        <v>0.11847988077496274</v>
      </c>
      <c r="G32" s="5">
        <v>0.13130004405172191</v>
      </c>
    </row>
    <row r="33" spans="1:7" x14ac:dyDescent="0.35">
      <c r="A33" s="3">
        <v>44080</v>
      </c>
      <c r="B33" s="4">
        <v>1.319</v>
      </c>
      <c r="C33" s="4">
        <v>1.1020000000000001</v>
      </c>
      <c r="D33" s="4">
        <v>1.1830000000000001</v>
      </c>
      <c r="E33" s="4">
        <v>1.3009999999999999</v>
      </c>
      <c r="F33" s="5">
        <v>-9.9746407438715101E-2</v>
      </c>
      <c r="G33" s="5">
        <v>-5.2052261066698469E-2</v>
      </c>
    </row>
    <row r="34" spans="1:7" x14ac:dyDescent="0.35">
      <c r="A34" s="3">
        <v>44081</v>
      </c>
      <c r="B34" s="4">
        <v>1.337</v>
      </c>
      <c r="C34" s="4">
        <v>1.141</v>
      </c>
      <c r="D34" s="4">
        <v>1.3009999999999999</v>
      </c>
      <c r="E34" s="4">
        <v>1.246</v>
      </c>
      <c r="F34" s="5">
        <v>4.2275172943889272E-2</v>
      </c>
      <c r="G34" s="5">
        <v>-2.8637046698234414E-3</v>
      </c>
    </row>
    <row r="35" spans="1:7" x14ac:dyDescent="0.35">
      <c r="A35" s="3">
        <v>44082</v>
      </c>
      <c r="B35" s="4">
        <v>1.2509999999999999</v>
      </c>
      <c r="C35" s="4">
        <v>1.1319999999999999</v>
      </c>
      <c r="D35" s="4">
        <v>1.246</v>
      </c>
      <c r="E35" s="4">
        <v>1.179</v>
      </c>
      <c r="F35" s="5">
        <v>5.3772070626003199E-2</v>
      </c>
      <c r="G35" s="5">
        <v>4.5942889454339886E-2</v>
      </c>
    </row>
    <row r="36" spans="1:7" x14ac:dyDescent="0.35">
      <c r="A36" s="3">
        <v>44083</v>
      </c>
      <c r="B36" s="4">
        <v>1.2450000000000001</v>
      </c>
      <c r="C36" s="4">
        <v>1.1499999999999999</v>
      </c>
      <c r="D36" s="4">
        <v>1.179</v>
      </c>
      <c r="E36" s="4">
        <v>1.22</v>
      </c>
      <c r="F36" s="5">
        <v>-3.4775233248515613E-2</v>
      </c>
      <c r="G36" s="5">
        <v>-4.0598607201066894E-2</v>
      </c>
    </row>
    <row r="37" spans="1:7" x14ac:dyDescent="0.35">
      <c r="A37" s="3">
        <v>44084</v>
      </c>
      <c r="B37" s="4">
        <v>1.276</v>
      </c>
      <c r="C37" s="4">
        <v>1.2010000000000001</v>
      </c>
      <c r="D37" s="4">
        <v>1.22</v>
      </c>
      <c r="E37" s="4">
        <v>1.2350000000000001</v>
      </c>
      <c r="F37" s="5">
        <v>-1.2295081967213184E-2</v>
      </c>
      <c r="G37" s="5">
        <v>-4.8241492239783579E-2</v>
      </c>
    </row>
    <row r="38" spans="1:7" x14ac:dyDescent="0.35">
      <c r="A38" s="3">
        <v>44085</v>
      </c>
      <c r="B38" s="4">
        <v>1.244</v>
      </c>
      <c r="C38" s="4">
        <v>1.1819999999999999</v>
      </c>
      <c r="D38" s="4">
        <v>1.2350000000000001</v>
      </c>
      <c r="E38" s="4">
        <v>1.228</v>
      </c>
      <c r="F38" s="5">
        <v>5.6680161943321039E-3</v>
      </c>
      <c r="G38" s="5">
        <v>-1.6028688635931543E-2</v>
      </c>
    </row>
    <row r="39" spans="1:7" x14ac:dyDescent="0.35">
      <c r="A39" s="3">
        <v>44086</v>
      </c>
      <c r="B39" s="4">
        <v>1.3280000000000001</v>
      </c>
      <c r="C39" s="4">
        <v>1.208</v>
      </c>
      <c r="D39" s="4">
        <v>1.228</v>
      </c>
      <c r="E39" s="4">
        <v>1.3260000000000001</v>
      </c>
      <c r="F39" s="5">
        <v>-7.9804560260586355E-2</v>
      </c>
      <c r="G39" s="5">
        <v>-3.7567849407738274E-2</v>
      </c>
    </row>
    <row r="40" spans="1:7" x14ac:dyDescent="0.35">
      <c r="A40" s="3">
        <v>44087</v>
      </c>
      <c r="B40" s="4">
        <v>1.339</v>
      </c>
      <c r="C40" s="4">
        <v>1.1819999999999999</v>
      </c>
      <c r="D40" s="4">
        <v>1.3260000000000001</v>
      </c>
      <c r="E40" s="4">
        <v>1.2270000000000001</v>
      </c>
      <c r="F40" s="5">
        <v>7.4660633484162853E-2</v>
      </c>
      <c r="G40" s="5">
        <v>5.6076693124420318E-2</v>
      </c>
    </row>
    <row r="41" spans="1:7" x14ac:dyDescent="0.35">
      <c r="A41" s="3">
        <v>44088</v>
      </c>
      <c r="B41" s="4">
        <v>1.248</v>
      </c>
      <c r="C41" s="4">
        <v>1.1830000000000001</v>
      </c>
      <c r="D41" s="4">
        <v>1.2270000000000001</v>
      </c>
      <c r="E41" s="4">
        <v>1.222</v>
      </c>
      <c r="F41" s="5">
        <v>4.0749796251019488E-3</v>
      </c>
      <c r="G41" s="5">
        <v>-2.9977066724909962E-2</v>
      </c>
    </row>
    <row r="42" spans="1:7" x14ac:dyDescent="0.35">
      <c r="A42" s="3">
        <v>44089</v>
      </c>
      <c r="B42" s="4">
        <v>1.238</v>
      </c>
      <c r="C42" s="4">
        <v>1.163</v>
      </c>
      <c r="D42" s="4">
        <v>1.222</v>
      </c>
      <c r="E42" s="4">
        <v>1.17</v>
      </c>
      <c r="F42" s="5">
        <v>4.2553191489361764E-2</v>
      </c>
      <c r="G42" s="5">
        <v>3.4724062980437842E-2</v>
      </c>
    </row>
    <row r="43" spans="1:7" x14ac:dyDescent="0.35">
      <c r="A43" s="3">
        <v>44090</v>
      </c>
      <c r="B43" s="4">
        <v>1.1859999999999999</v>
      </c>
      <c r="C43" s="4">
        <v>1.111</v>
      </c>
      <c r="D43" s="4">
        <v>1.17</v>
      </c>
      <c r="E43" s="4">
        <v>1.159</v>
      </c>
      <c r="F43" s="5">
        <v>9.4017094017093683E-3</v>
      </c>
      <c r="G43" s="5">
        <v>-2.5538224956060951E-3</v>
      </c>
    </row>
    <row r="44" spans="1:7" x14ac:dyDescent="0.35">
      <c r="A44" s="3">
        <v>44091</v>
      </c>
      <c r="B44" s="4">
        <v>1.1970000000000001</v>
      </c>
      <c r="C44" s="4">
        <v>1.1120000000000001</v>
      </c>
      <c r="D44" s="4">
        <v>1.159</v>
      </c>
      <c r="E44" s="4">
        <v>1.117</v>
      </c>
      <c r="F44" s="5">
        <v>3.6238136324417636E-2</v>
      </c>
      <c r="G44" s="5">
        <v>-6.6969788271385333E-2</v>
      </c>
    </row>
    <row r="45" spans="1:7" x14ac:dyDescent="0.35">
      <c r="A45" s="3">
        <v>44092</v>
      </c>
      <c r="B45" s="4">
        <v>1.139</v>
      </c>
      <c r="C45" s="4">
        <v>1.03</v>
      </c>
      <c r="D45" s="4">
        <v>1.117</v>
      </c>
      <c r="E45" s="4">
        <v>1.0609999999999999</v>
      </c>
      <c r="F45" s="5">
        <v>5.0134288272157601E-2</v>
      </c>
      <c r="G45" s="5">
        <v>1.3015351440160194E-2</v>
      </c>
    </row>
    <row r="46" spans="1:7" x14ac:dyDescent="0.35">
      <c r="A46" s="3">
        <v>44093</v>
      </c>
      <c r="B46" s="4">
        <v>1.073</v>
      </c>
      <c r="C46" s="4">
        <v>1.01</v>
      </c>
      <c r="D46" s="4">
        <v>1.0609999999999999</v>
      </c>
      <c r="E46" s="4">
        <v>1.0569999999999999</v>
      </c>
      <c r="F46" s="5">
        <v>3.7700282752121117E-3</v>
      </c>
      <c r="G46" s="5">
        <v>-2.0807865373109191E-3</v>
      </c>
    </row>
    <row r="47" spans="1:7" x14ac:dyDescent="0.35">
      <c r="A47" s="3">
        <v>44094</v>
      </c>
      <c r="B47" s="4">
        <v>1.1040000000000001</v>
      </c>
      <c r="C47" s="4">
        <v>0.99239999999999995</v>
      </c>
      <c r="D47" s="4">
        <v>1.0569999999999999</v>
      </c>
      <c r="E47" s="4">
        <v>1.0109999999999999</v>
      </c>
      <c r="F47" s="5">
        <v>4.3519394512772092E-2</v>
      </c>
      <c r="G47" s="5">
        <v>3.6987048044228699E-2</v>
      </c>
    </row>
    <row r="48" spans="1:7" x14ac:dyDescent="0.35">
      <c r="A48" s="3">
        <v>44095</v>
      </c>
      <c r="B48" s="4">
        <v>1.032</v>
      </c>
      <c r="C48" s="4">
        <v>0.85550000000000004</v>
      </c>
      <c r="D48" s="4">
        <v>1.0109999999999999</v>
      </c>
      <c r="E48" s="4">
        <v>0.90659999999999996</v>
      </c>
      <c r="F48" s="5">
        <v>0.1032640949554896</v>
      </c>
      <c r="G48" s="5">
        <v>8.3095250929869025E-2</v>
      </c>
    </row>
    <row r="49" spans="1:7" x14ac:dyDescent="0.35">
      <c r="A49" s="3">
        <v>44096</v>
      </c>
      <c r="B49" s="4">
        <v>0.97809999999999997</v>
      </c>
      <c r="C49" s="4">
        <v>0.87470000000000003</v>
      </c>
      <c r="D49" s="4">
        <v>0.90659999999999996</v>
      </c>
      <c r="E49" s="4">
        <v>0.94299999999999995</v>
      </c>
      <c r="F49" s="5">
        <v>-4.0150011030222865E-2</v>
      </c>
      <c r="G49" s="5">
        <v>-1.1934507187160159E-2</v>
      </c>
    </row>
    <row r="50" spans="1:7" x14ac:dyDescent="0.35">
      <c r="A50" s="3">
        <v>44097</v>
      </c>
      <c r="B50" s="4">
        <v>0.94740000000000002</v>
      </c>
      <c r="C50" s="4">
        <v>0.8538</v>
      </c>
      <c r="D50" s="4">
        <v>0.94299999999999995</v>
      </c>
      <c r="E50" s="4">
        <v>0.85860000000000003</v>
      </c>
      <c r="F50" s="5">
        <v>8.95015906680805E-2</v>
      </c>
      <c r="G50" s="5">
        <v>6.989106753812635E-2</v>
      </c>
    </row>
    <row r="51" spans="1:7" x14ac:dyDescent="0.35">
      <c r="A51" s="3">
        <v>44098</v>
      </c>
      <c r="B51" s="4">
        <v>0.94989999999999997</v>
      </c>
      <c r="C51" s="4">
        <v>0.85170000000000001</v>
      </c>
      <c r="D51" s="4">
        <v>0.85860000000000003</v>
      </c>
      <c r="E51" s="4">
        <v>0.93940000000000001</v>
      </c>
      <c r="F51" s="5">
        <v>-9.4106685301653892E-2</v>
      </c>
      <c r="G51" s="5">
        <v>-9.0539991879821313E-2</v>
      </c>
    </row>
    <row r="52" spans="1:7" x14ac:dyDescent="0.35">
      <c r="A52" s="3">
        <v>44099</v>
      </c>
      <c r="B52" s="4">
        <v>1.0229999999999999</v>
      </c>
      <c r="C52" s="4">
        <v>0.90400000000000003</v>
      </c>
      <c r="D52" s="4">
        <v>0.93940000000000001</v>
      </c>
      <c r="E52" s="4">
        <v>0.97909999999999997</v>
      </c>
      <c r="F52" s="5">
        <v>-4.2261017670853773E-2</v>
      </c>
      <c r="G52" s="5">
        <v>-8.133340970273073E-3</v>
      </c>
    </row>
    <row r="53" spans="1:7" x14ac:dyDescent="0.35">
      <c r="A53" s="3">
        <v>44100</v>
      </c>
      <c r="B53" s="4">
        <v>1.069</v>
      </c>
      <c r="C53" s="4">
        <v>0.9708</v>
      </c>
      <c r="D53" s="4">
        <v>0.97909999999999997</v>
      </c>
      <c r="E53" s="4">
        <v>1.0209999999999999</v>
      </c>
      <c r="F53" s="5">
        <v>-4.2794403023184602E-2</v>
      </c>
      <c r="G53" s="5">
        <v>-6.2780523833874113E-3</v>
      </c>
    </row>
    <row r="54" spans="1:7" x14ac:dyDescent="0.35">
      <c r="A54" s="3">
        <v>44101</v>
      </c>
      <c r="B54" s="4">
        <v>1.0449999999999999</v>
      </c>
      <c r="C54" s="4">
        <v>0.94310000000000005</v>
      </c>
      <c r="D54" s="4">
        <v>1.0209999999999999</v>
      </c>
      <c r="E54" s="4">
        <v>1.0069999999999999</v>
      </c>
      <c r="F54" s="5">
        <v>1.3712047012732653E-2</v>
      </c>
      <c r="G54" s="5">
        <v>-9.8805860599044948E-3</v>
      </c>
    </row>
    <row r="55" spans="1:7" x14ac:dyDescent="0.35">
      <c r="A55" s="3">
        <v>44102</v>
      </c>
      <c r="B55" s="4">
        <v>1.0589999999999999</v>
      </c>
      <c r="C55" s="4">
        <v>0.97609999999999997</v>
      </c>
      <c r="D55" s="4">
        <v>1.0069999999999999</v>
      </c>
      <c r="E55" s="4">
        <v>0.99319999999999997</v>
      </c>
      <c r="F55" s="5">
        <v>1.3704071499503367E-2</v>
      </c>
      <c r="G55" s="5">
        <v>1.0398904201492809E-2</v>
      </c>
    </row>
    <row r="56" spans="1:7" x14ac:dyDescent="0.35">
      <c r="A56" s="3">
        <v>44103</v>
      </c>
      <c r="B56" s="4">
        <v>1.0109999999999999</v>
      </c>
      <c r="C56" s="4">
        <v>0.95009999999999994</v>
      </c>
      <c r="D56" s="4">
        <v>0.99319999999999997</v>
      </c>
      <c r="E56" s="4">
        <v>0.9889</v>
      </c>
      <c r="F56" s="5">
        <v>4.3294401933144933E-3</v>
      </c>
      <c r="G56" s="5">
        <v>-1.6694443659783786E-2</v>
      </c>
    </row>
    <row r="57" spans="1:7" x14ac:dyDescent="0.35">
      <c r="A57" s="3">
        <v>44104</v>
      </c>
      <c r="B57" s="4">
        <v>0.99390000000000001</v>
      </c>
      <c r="C57" s="4">
        <v>0.95669999999999999</v>
      </c>
      <c r="D57" s="4">
        <v>0.9889</v>
      </c>
      <c r="E57" s="4">
        <v>0.98019999999999996</v>
      </c>
      <c r="F57" s="5">
        <v>8.7976539589442737E-3</v>
      </c>
      <c r="G57" s="5">
        <v>2.7783951989335254E-4</v>
      </c>
    </row>
    <row r="58" spans="1:7" x14ac:dyDescent="0.35">
      <c r="A58" s="3">
        <v>44105</v>
      </c>
      <c r="B58" s="4">
        <v>1.0429999999999999</v>
      </c>
      <c r="C58" s="4">
        <v>0.92949999999999999</v>
      </c>
      <c r="D58" s="4">
        <v>0.98019999999999996</v>
      </c>
      <c r="E58" s="4">
        <v>0.95320000000000005</v>
      </c>
      <c r="F58" s="5">
        <v>2.754539889818397E-2</v>
      </c>
      <c r="G58" s="5">
        <v>1.8370296259240804E-2</v>
      </c>
    </row>
    <row r="59" spans="1:7" x14ac:dyDescent="0.35">
      <c r="A59" s="3">
        <v>44106</v>
      </c>
      <c r="B59" s="4">
        <v>1.01</v>
      </c>
      <c r="C59" s="4">
        <v>0.86370000000000002</v>
      </c>
      <c r="D59" s="4">
        <v>0.95320000000000005</v>
      </c>
      <c r="E59" s="4">
        <v>0.92549999999999999</v>
      </c>
      <c r="F59" s="5">
        <v>2.9060008392782222E-2</v>
      </c>
      <c r="G59" s="5">
        <v>2.0894085671413598E-2</v>
      </c>
    </row>
    <row r="60" spans="1:7" x14ac:dyDescent="0.35">
      <c r="A60" s="3">
        <v>44107</v>
      </c>
      <c r="B60" s="4">
        <v>0.9577</v>
      </c>
      <c r="C60" s="4">
        <v>0.90810000000000002</v>
      </c>
      <c r="D60" s="4">
        <v>0.92549999999999999</v>
      </c>
      <c r="E60" s="4">
        <v>0.91169999999999995</v>
      </c>
      <c r="F60" s="5">
        <v>1.4910858995137777E-2</v>
      </c>
      <c r="G60" s="5">
        <v>-1.4168811265651282E-3</v>
      </c>
    </row>
    <row r="61" spans="1:7" x14ac:dyDescent="0.35">
      <c r="A61" s="3">
        <v>44108</v>
      </c>
      <c r="B61" s="4">
        <v>0.94989999999999997</v>
      </c>
      <c r="C61" s="4">
        <v>0.90129999999999999</v>
      </c>
      <c r="D61" s="4">
        <v>0.91169999999999995</v>
      </c>
      <c r="E61" s="4">
        <v>0.92459999999999998</v>
      </c>
      <c r="F61" s="5">
        <v>-1.414939124712089E-2</v>
      </c>
      <c r="G61" s="5">
        <v>-1.816239316239332E-2</v>
      </c>
    </row>
    <row r="62" spans="1:7" x14ac:dyDescent="0.35">
      <c r="A62" s="3">
        <v>44109</v>
      </c>
      <c r="B62" s="4">
        <v>0.94340000000000002</v>
      </c>
      <c r="C62" s="4">
        <v>0.91100000000000003</v>
      </c>
      <c r="D62" s="4">
        <v>0.92459999999999998</v>
      </c>
      <c r="E62" s="4">
        <v>0.92249999999999999</v>
      </c>
      <c r="F62" s="5">
        <v>2.271252433484694E-3</v>
      </c>
      <c r="G62" s="5">
        <v>-3.2613936076684169E-3</v>
      </c>
    </row>
    <row r="63" spans="1:7" x14ac:dyDescent="0.35">
      <c r="A63" s="3">
        <v>44110</v>
      </c>
      <c r="B63" s="4">
        <v>0.93059999999999998</v>
      </c>
      <c r="C63" s="4">
        <v>0.85150000000000003</v>
      </c>
      <c r="D63" s="4">
        <v>0.92249999999999999</v>
      </c>
      <c r="E63" s="4">
        <v>0.85880000000000001</v>
      </c>
      <c r="F63" s="5">
        <v>6.9051490514905112E-2</v>
      </c>
      <c r="G63" s="5">
        <v>3.6493668023518722E-2</v>
      </c>
    </row>
    <row r="64" spans="1:7" x14ac:dyDescent="0.35">
      <c r="A64" s="3">
        <v>44111</v>
      </c>
      <c r="B64" s="4">
        <v>0.91769999999999996</v>
      </c>
      <c r="C64" s="4">
        <v>0.82709999999999995</v>
      </c>
      <c r="D64" s="4">
        <v>0.85880000000000001</v>
      </c>
      <c r="E64" s="4">
        <v>0.91549999999999998</v>
      </c>
      <c r="F64" s="5">
        <v>-6.602235677689805E-2</v>
      </c>
      <c r="G64" s="5">
        <v>-3.1098723778788528E-3</v>
      </c>
    </row>
    <row r="65" spans="1:7" x14ac:dyDescent="0.35">
      <c r="A65" s="3">
        <v>44112</v>
      </c>
      <c r="B65" s="4">
        <v>0.94689999999999996</v>
      </c>
      <c r="C65" s="4">
        <v>0.87990000000000002</v>
      </c>
      <c r="D65" s="4">
        <v>0.91549999999999998</v>
      </c>
      <c r="E65" s="4">
        <v>0.92510000000000003</v>
      </c>
      <c r="F65" s="5">
        <v>-1.0486073184052591E-2</v>
      </c>
      <c r="G65" s="5">
        <v>-2.7170892925038714E-2</v>
      </c>
    </row>
    <row r="66" spans="1:7" x14ac:dyDescent="0.35">
      <c r="A66" s="3">
        <v>44113</v>
      </c>
      <c r="B66" s="4">
        <v>0.99750000000000005</v>
      </c>
      <c r="C66" s="4">
        <v>0.9012</v>
      </c>
      <c r="D66" s="4">
        <v>0.92510000000000003</v>
      </c>
      <c r="E66" s="4">
        <v>0.96150000000000002</v>
      </c>
      <c r="F66" s="5">
        <v>-3.9347097611069026E-2</v>
      </c>
      <c r="G66" s="5">
        <v>-4.0461275626423765E-2</v>
      </c>
    </row>
    <row r="67" spans="1:7" x14ac:dyDescent="0.35">
      <c r="A67" s="3">
        <v>44114</v>
      </c>
      <c r="B67" s="4">
        <v>0.99390000000000001</v>
      </c>
      <c r="C67" s="4">
        <v>0.95479999999999998</v>
      </c>
      <c r="D67" s="4">
        <v>0.96150000000000002</v>
      </c>
      <c r="E67" s="4">
        <v>0.97130000000000005</v>
      </c>
      <c r="F67" s="5">
        <v>-1.0192407696307804E-2</v>
      </c>
      <c r="G67" s="5">
        <v>-1.4969486330423276E-2</v>
      </c>
    </row>
    <row r="68" spans="1:7" x14ac:dyDescent="0.35">
      <c r="A68" s="3">
        <v>44115</v>
      </c>
      <c r="B68" s="4">
        <v>0.97860000000000003</v>
      </c>
      <c r="C68" s="4">
        <v>0.92379999999999995</v>
      </c>
      <c r="D68" s="4">
        <v>0.97130000000000005</v>
      </c>
      <c r="E68" s="4">
        <v>0.95760000000000001</v>
      </c>
      <c r="F68" s="5">
        <v>1.41048079892927E-2</v>
      </c>
      <c r="G68" s="5">
        <v>-9.4100517687663032E-3</v>
      </c>
    </row>
    <row r="69" spans="1:7" x14ac:dyDescent="0.35">
      <c r="A69" s="3">
        <v>44116</v>
      </c>
      <c r="B69" s="4">
        <v>1.06</v>
      </c>
      <c r="C69" s="4">
        <v>0.95</v>
      </c>
      <c r="D69" s="4">
        <v>0.95760000000000001</v>
      </c>
      <c r="E69" s="4">
        <v>1.0089999999999999</v>
      </c>
      <c r="F69" s="5">
        <v>-5.3675856307435099E-2</v>
      </c>
      <c r="G69" s="5">
        <v>-3.3496273739882954E-2</v>
      </c>
    </row>
    <row r="70" spans="1:7" x14ac:dyDescent="0.35">
      <c r="A70" s="3">
        <v>44117</v>
      </c>
      <c r="B70" s="4">
        <v>1.04</v>
      </c>
      <c r="C70" s="4">
        <v>0.97009999999999996</v>
      </c>
      <c r="D70" s="4">
        <v>1.0089999999999999</v>
      </c>
      <c r="E70" s="4">
        <v>0.99150000000000005</v>
      </c>
      <c r="F70" s="5">
        <v>1.7343904856293224E-2</v>
      </c>
      <c r="G70" s="5">
        <v>1.421519216355227E-2</v>
      </c>
    </row>
    <row r="71" spans="1:7" x14ac:dyDescent="0.35">
      <c r="A71" s="3">
        <v>44118</v>
      </c>
      <c r="B71" s="4">
        <v>0.99529999999999996</v>
      </c>
      <c r="C71" s="4">
        <v>0.92989999999999995</v>
      </c>
      <c r="D71" s="4">
        <v>0.99150000000000005</v>
      </c>
      <c r="E71" s="4">
        <v>0.94289999999999996</v>
      </c>
      <c r="F71" s="5">
        <v>4.9016641452344967E-2</v>
      </c>
      <c r="G71" s="5">
        <v>6.0302561547941336E-3</v>
      </c>
    </row>
    <row r="72" spans="1:7" x14ac:dyDescent="0.35">
      <c r="A72" s="3">
        <v>44119</v>
      </c>
      <c r="B72" s="4">
        <v>0.94540000000000002</v>
      </c>
      <c r="C72" s="4">
        <v>0.90810000000000002</v>
      </c>
      <c r="D72" s="4">
        <v>0.94289999999999996</v>
      </c>
      <c r="E72" s="4">
        <v>0.93049999999999999</v>
      </c>
      <c r="F72" s="5">
        <v>1.3150917382543148E-2</v>
      </c>
      <c r="G72" s="5">
        <v>3.7192371607185359E-3</v>
      </c>
    </row>
    <row r="73" spans="1:7" x14ac:dyDescent="0.35">
      <c r="A73" s="3">
        <v>44120</v>
      </c>
      <c r="B73" s="4">
        <v>0.9405</v>
      </c>
      <c r="C73" s="4">
        <v>0.89200000000000002</v>
      </c>
      <c r="D73" s="4">
        <v>0.93049999999999999</v>
      </c>
      <c r="E73" s="4">
        <v>0.89859999999999995</v>
      </c>
      <c r="F73" s="5">
        <v>3.4282643739924845E-2</v>
      </c>
      <c r="G73" s="5">
        <v>3.2088959491660018E-2</v>
      </c>
    </row>
    <row r="74" spans="1:7" x14ac:dyDescent="0.35">
      <c r="A74" s="3">
        <v>44121</v>
      </c>
      <c r="B74" s="4">
        <v>0.92889999999999995</v>
      </c>
      <c r="C74" s="4">
        <v>0.88539999999999996</v>
      </c>
      <c r="D74" s="4">
        <v>0.89859999999999995</v>
      </c>
      <c r="E74" s="4">
        <v>0.92</v>
      </c>
      <c r="F74" s="5">
        <v>-2.3814823058090351E-2</v>
      </c>
      <c r="G74" s="5">
        <v>-8.3976147491657827E-3</v>
      </c>
    </row>
    <row r="75" spans="1:7" x14ac:dyDescent="0.35">
      <c r="A75" s="3">
        <v>44122</v>
      </c>
      <c r="B75" s="4">
        <v>0.93630000000000002</v>
      </c>
      <c r="C75" s="4">
        <v>0.91200000000000003</v>
      </c>
      <c r="D75" s="4">
        <v>0.92</v>
      </c>
      <c r="E75" s="4">
        <v>0.93630000000000002</v>
      </c>
      <c r="F75" s="5">
        <v>-1.7717391304347796E-2</v>
      </c>
      <c r="G75" s="5">
        <v>-2.6556354265563575E-2</v>
      </c>
    </row>
    <row r="76" spans="1:7" x14ac:dyDescent="0.35">
      <c r="A76" s="3">
        <v>44123</v>
      </c>
      <c r="B76" s="4">
        <v>0.93630000000000002</v>
      </c>
      <c r="C76" s="4">
        <v>0.90380000000000005</v>
      </c>
      <c r="D76" s="4">
        <v>0.93630000000000002</v>
      </c>
      <c r="E76" s="4">
        <v>0.90990000000000004</v>
      </c>
      <c r="F76" s="5">
        <v>2.8196090996475465E-2</v>
      </c>
      <c r="G76" s="5">
        <v>-2.5631540006343378E-3</v>
      </c>
    </row>
    <row r="77" spans="1:7" x14ac:dyDescent="0.35">
      <c r="A77" s="3">
        <v>44124</v>
      </c>
      <c r="B77" s="4">
        <v>0.91210000000000002</v>
      </c>
      <c r="C77" s="4">
        <v>0.86040000000000005</v>
      </c>
      <c r="D77" s="4">
        <v>0.90990000000000004</v>
      </c>
      <c r="E77" s="4">
        <v>0.86460000000000004</v>
      </c>
      <c r="F77" s="5">
        <v>4.9785690735245636E-2</v>
      </c>
      <c r="G77" s="5">
        <v>2.8122611422998878E-2</v>
      </c>
    </row>
    <row r="78" spans="1:7" x14ac:dyDescent="0.35">
      <c r="A78" s="3">
        <v>44125</v>
      </c>
      <c r="B78" s="4">
        <v>0.94189999999999996</v>
      </c>
      <c r="C78" s="4">
        <v>0.86280000000000001</v>
      </c>
      <c r="D78" s="4">
        <v>0.86460000000000004</v>
      </c>
      <c r="E78" s="4">
        <v>0.93369999999999997</v>
      </c>
      <c r="F78" s="5">
        <v>-7.9921350913717326E-2</v>
      </c>
      <c r="G78" s="5">
        <v>-6.1615230243531993E-2</v>
      </c>
    </row>
    <row r="79" spans="1:7" x14ac:dyDescent="0.35">
      <c r="A79" s="3">
        <v>44126</v>
      </c>
      <c r="B79" s="4">
        <v>0.98550000000000004</v>
      </c>
      <c r="C79" s="4">
        <v>0.9274</v>
      </c>
      <c r="D79" s="4">
        <v>0.93369999999999997</v>
      </c>
      <c r="E79" s="4">
        <v>0.9446</v>
      </c>
      <c r="F79" s="5">
        <v>-1.167398522009222E-2</v>
      </c>
      <c r="G79" s="5">
        <v>-5.8856588157155221E-2</v>
      </c>
    </row>
    <row r="80" spans="1:7" x14ac:dyDescent="0.35">
      <c r="A80" s="3">
        <v>44127</v>
      </c>
      <c r="B80" s="4">
        <v>0.95</v>
      </c>
      <c r="C80" s="4">
        <v>0.91310000000000002</v>
      </c>
      <c r="D80" s="4">
        <v>0.9446</v>
      </c>
      <c r="E80" s="4">
        <v>0.93469999999999998</v>
      </c>
      <c r="F80" s="5">
        <v>1.048062672030492E-2</v>
      </c>
      <c r="G80" s="5">
        <v>1.189384800965021E-2</v>
      </c>
    </row>
    <row r="81" spans="1:7" x14ac:dyDescent="0.35">
      <c r="A81" s="3">
        <v>44128</v>
      </c>
      <c r="B81" s="4">
        <v>0.94979999999999998</v>
      </c>
      <c r="C81" s="4">
        <v>0.91579999999999995</v>
      </c>
      <c r="D81" s="4">
        <v>0.93469999999999998</v>
      </c>
      <c r="E81" s="4">
        <v>0.93</v>
      </c>
      <c r="F81" s="5">
        <v>5.0283513426767623E-3</v>
      </c>
      <c r="G81" s="5">
        <v>-7.275923529555417E-3</v>
      </c>
    </row>
    <row r="82" spans="1:7" x14ac:dyDescent="0.35">
      <c r="A82" s="3">
        <v>44129</v>
      </c>
      <c r="B82" s="4">
        <v>0.94410000000000005</v>
      </c>
      <c r="C82" s="4">
        <v>0.9022</v>
      </c>
      <c r="D82" s="4">
        <v>0.93</v>
      </c>
      <c r="E82" s="4">
        <v>0.90410000000000001</v>
      </c>
      <c r="F82" s="5">
        <v>2.7849462365591382E-2</v>
      </c>
      <c r="G82" s="5">
        <v>1.5004241910071547E-2</v>
      </c>
    </row>
    <row r="83" spans="1:7" x14ac:dyDescent="0.35">
      <c r="A83" s="3">
        <v>44130</v>
      </c>
      <c r="B83" s="4">
        <v>0.93469999999999998</v>
      </c>
      <c r="C83" s="4">
        <v>0.878</v>
      </c>
      <c r="D83" s="4">
        <v>0.90410000000000001</v>
      </c>
      <c r="E83" s="4">
        <v>0.89400000000000002</v>
      </c>
      <c r="F83" s="5">
        <v>1.1171330605021512E-2</v>
      </c>
      <c r="G83" s="5">
        <v>3.2606555763362577E-2</v>
      </c>
    </row>
    <row r="84" spans="1:7" x14ac:dyDescent="0.35">
      <c r="A84" s="3">
        <v>44131</v>
      </c>
      <c r="B84" s="4">
        <v>0.91379999999999995</v>
      </c>
      <c r="C84" s="4">
        <v>0.88460000000000005</v>
      </c>
      <c r="D84" s="4">
        <v>0.89400000000000002</v>
      </c>
      <c r="E84" s="4">
        <v>0.9032</v>
      </c>
      <c r="F84" s="5">
        <v>-1.0290827740492059E-2</v>
      </c>
      <c r="G84" s="5">
        <v>-2.7040777390552329E-2</v>
      </c>
    </row>
    <row r="85" spans="1:7" x14ac:dyDescent="0.35">
      <c r="A85" s="3">
        <v>44132</v>
      </c>
      <c r="B85" s="4">
        <v>0.90590000000000004</v>
      </c>
      <c r="C85" s="4">
        <v>0.84230000000000005</v>
      </c>
      <c r="D85" s="4">
        <v>0.9032</v>
      </c>
      <c r="E85" s="4">
        <v>0.85850000000000004</v>
      </c>
      <c r="F85" s="5">
        <v>4.949069973427811E-2</v>
      </c>
      <c r="G85" s="5">
        <v>3.7078317729231758E-2</v>
      </c>
    </row>
    <row r="86" spans="1:7" x14ac:dyDescent="0.35">
      <c r="A86" s="3">
        <v>44133</v>
      </c>
      <c r="B86" s="4">
        <v>0.87139999999999995</v>
      </c>
      <c r="C86" s="4">
        <v>0.80789999999999995</v>
      </c>
      <c r="D86" s="4">
        <v>0.85850000000000004</v>
      </c>
      <c r="E86" s="4">
        <v>0.81640000000000001</v>
      </c>
      <c r="F86" s="5">
        <v>4.9039021549213802E-2</v>
      </c>
      <c r="G86" s="5">
        <v>3.163824369164181E-3</v>
      </c>
    </row>
    <row r="87" spans="1:7" x14ac:dyDescent="0.35">
      <c r="A87" s="3">
        <v>44134</v>
      </c>
      <c r="B87" s="4">
        <v>0.82809999999999995</v>
      </c>
      <c r="C87" s="4">
        <v>0.76670000000000005</v>
      </c>
      <c r="D87" s="4">
        <v>0.81640000000000001</v>
      </c>
      <c r="E87" s="4">
        <v>0.79949999999999999</v>
      </c>
      <c r="F87" s="5">
        <v>2.070063694267521E-2</v>
      </c>
      <c r="G87" s="5">
        <v>1.2334210662125256E-2</v>
      </c>
    </row>
    <row r="88" spans="1:7" x14ac:dyDescent="0.35">
      <c r="A88" s="3">
        <v>44135</v>
      </c>
      <c r="B88" s="4">
        <v>0.81489999999999996</v>
      </c>
      <c r="C88" s="4">
        <v>0.78739999999999999</v>
      </c>
      <c r="D88" s="4">
        <v>0.79949999999999999</v>
      </c>
      <c r="E88" s="4">
        <v>0.78790000000000004</v>
      </c>
      <c r="F88" s="5">
        <v>1.4509068167604666E-2</v>
      </c>
      <c r="G88" s="5">
        <v>-1.0476538823283477E-2</v>
      </c>
    </row>
    <row r="89" spans="1:7" x14ac:dyDescent="0.35">
      <c r="A89" s="3">
        <v>44136</v>
      </c>
      <c r="B89" s="4">
        <v>0.80500000000000005</v>
      </c>
      <c r="C89" s="4">
        <v>0.77749999999999997</v>
      </c>
      <c r="D89" s="4">
        <v>0.78790000000000004</v>
      </c>
      <c r="E89" s="4">
        <v>0.79110000000000003</v>
      </c>
      <c r="F89" s="5">
        <v>-4.0614291153699966E-3</v>
      </c>
      <c r="G89" s="5">
        <v>-2.5803449078263707E-2</v>
      </c>
    </row>
    <row r="90" spans="1:7" x14ac:dyDescent="0.35">
      <c r="A90" s="3">
        <v>44137</v>
      </c>
      <c r="B90" s="4">
        <v>0.81079999999999997</v>
      </c>
      <c r="C90" s="4">
        <v>0.76219999999999999</v>
      </c>
      <c r="D90" s="4">
        <v>0.79110000000000003</v>
      </c>
      <c r="E90" s="4">
        <v>0.77629999999999999</v>
      </c>
      <c r="F90" s="5">
        <v>1.8708127923145024E-2</v>
      </c>
      <c r="G90" s="5">
        <v>3.3119092627599156E-2</v>
      </c>
    </row>
    <row r="91" spans="1:7" x14ac:dyDescent="0.35">
      <c r="A91" s="3">
        <v>44138</v>
      </c>
      <c r="B91" s="4">
        <v>0.77629999999999999</v>
      </c>
      <c r="C91" s="4">
        <v>0.72430000000000005</v>
      </c>
      <c r="D91" s="4">
        <v>0.77629999999999999</v>
      </c>
      <c r="E91" s="4">
        <v>0.74050000000000005</v>
      </c>
      <c r="F91" s="5">
        <v>4.6116192193739414E-2</v>
      </c>
      <c r="G91" s="5">
        <v>-1.191314095044449E-2</v>
      </c>
    </row>
    <row r="92" spans="1:7" x14ac:dyDescent="0.35">
      <c r="A92" s="3">
        <v>44139</v>
      </c>
      <c r="B92" s="4">
        <v>0.74219999999999997</v>
      </c>
      <c r="C92" s="4">
        <v>0.74050000000000005</v>
      </c>
      <c r="D92" s="4">
        <v>0.74050000000000005</v>
      </c>
      <c r="E92" s="4">
        <v>0.74219999999999997</v>
      </c>
      <c r="F92" s="5">
        <v>-2.2957461174881733E-3</v>
      </c>
      <c r="G92" s="5">
        <v>-1.5456746870001759E-4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C385B-439B-4A5D-96CA-1F5F25EF6799}">
  <sheetPr codeName="Sheet15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17.46</v>
      </c>
      <c r="C2" s="4">
        <v>10.039999999999999</v>
      </c>
      <c r="D2" s="4">
        <v>10.41</v>
      </c>
      <c r="E2" s="4">
        <v>11.36</v>
      </c>
    </row>
    <row r="3" spans="1:7" x14ac:dyDescent="0.35">
      <c r="A3" s="3">
        <v>44050</v>
      </c>
      <c r="B3" s="4">
        <v>14.52</v>
      </c>
      <c r="C3" s="4">
        <v>11.2</v>
      </c>
      <c r="D3" s="4">
        <v>11.36</v>
      </c>
      <c r="E3" s="4">
        <v>13.26</v>
      </c>
      <c r="F3" s="5">
        <v>-0.16725352112676051</v>
      </c>
      <c r="G3" s="5">
        <v>3.9160591332523365E-2</v>
      </c>
    </row>
    <row r="4" spans="1:7" x14ac:dyDescent="0.35">
      <c r="A4" s="3">
        <v>44051</v>
      </c>
      <c r="B4" s="4">
        <v>17.3</v>
      </c>
      <c r="C4" s="4">
        <v>13.3</v>
      </c>
      <c r="D4" s="4">
        <v>13.26</v>
      </c>
      <c r="E4" s="4">
        <v>17.059999999999999</v>
      </c>
      <c r="F4" s="5">
        <v>-0.28657616892910998</v>
      </c>
      <c r="G4" s="5">
        <v>-4.739573728166091E-2</v>
      </c>
    </row>
    <row r="5" spans="1:7" x14ac:dyDescent="0.35">
      <c r="A5" s="3">
        <v>44052</v>
      </c>
      <c r="B5" s="4">
        <v>29.22</v>
      </c>
      <c r="C5" s="4">
        <v>16.420000000000002</v>
      </c>
      <c r="D5" s="4">
        <v>17.059999999999999</v>
      </c>
      <c r="E5" s="4">
        <v>26.56</v>
      </c>
      <c r="F5" s="5">
        <v>-0.5568581477139507</v>
      </c>
      <c r="G5" s="5">
        <v>1.8311701378408318E-2</v>
      </c>
    </row>
    <row r="6" spans="1:7" x14ac:dyDescent="0.35">
      <c r="A6" s="3">
        <v>44053</v>
      </c>
      <c r="B6" s="4">
        <v>29.14</v>
      </c>
      <c r="C6" s="4">
        <v>22.61</v>
      </c>
      <c r="D6" s="4">
        <v>26.56</v>
      </c>
      <c r="E6" s="4">
        <v>23.02</v>
      </c>
      <c r="F6" s="5">
        <v>0.13328313253012047</v>
      </c>
      <c r="G6" s="5">
        <v>-1.3913088039356314E-2</v>
      </c>
    </row>
    <row r="7" spans="1:7" x14ac:dyDescent="0.35">
      <c r="A7" s="3">
        <v>44054</v>
      </c>
      <c r="B7" s="4">
        <v>22.21</v>
      </c>
      <c r="C7" s="4">
        <v>18.559999999999999</v>
      </c>
      <c r="D7" s="4">
        <v>23.02</v>
      </c>
      <c r="E7" s="4">
        <v>20.28</v>
      </c>
      <c r="F7" s="5">
        <v>0.11902693310165069</v>
      </c>
      <c r="G7" s="5">
        <v>4.2379520355816047E-2</v>
      </c>
    </row>
    <row r="8" spans="1:7" x14ac:dyDescent="0.35">
      <c r="A8" s="3">
        <v>44055</v>
      </c>
      <c r="B8" s="4">
        <v>24.59</v>
      </c>
      <c r="C8" s="4">
        <v>19.47</v>
      </c>
      <c r="D8" s="4">
        <v>20.28</v>
      </c>
      <c r="E8" s="4">
        <v>22.48</v>
      </c>
      <c r="F8" s="5">
        <v>-0.10848126232741606</v>
      </c>
      <c r="G8" s="5">
        <v>-2.1771256663323912E-2</v>
      </c>
    </row>
    <row r="9" spans="1:7" x14ac:dyDescent="0.35">
      <c r="A9" s="3">
        <v>44056</v>
      </c>
      <c r="B9" s="4">
        <v>24.63</v>
      </c>
      <c r="C9" s="4">
        <v>20.41</v>
      </c>
      <c r="D9" s="4">
        <v>22.48</v>
      </c>
      <c r="E9" s="4">
        <v>21.27</v>
      </c>
      <c r="F9" s="5">
        <v>5.3825622775800719E-2</v>
      </c>
      <c r="G9" s="5">
        <v>-9.7574834060797144E-2</v>
      </c>
    </row>
    <row r="10" spans="1:7" x14ac:dyDescent="0.35">
      <c r="A10" s="3">
        <v>44057</v>
      </c>
      <c r="B10" s="4">
        <v>21.7</v>
      </c>
      <c r="C10" s="4">
        <v>20.49</v>
      </c>
      <c r="D10" s="4">
        <v>21.27</v>
      </c>
      <c r="E10" s="4">
        <v>21.49</v>
      </c>
      <c r="F10" s="5">
        <v>-1.0343206393982118E-2</v>
      </c>
      <c r="G10" s="5">
        <v>-3.1861072546297331E-2</v>
      </c>
    </row>
    <row r="11" spans="1:7" x14ac:dyDescent="0.35">
      <c r="A11" s="3">
        <v>44058</v>
      </c>
      <c r="B11" s="4">
        <v>21.81</v>
      </c>
      <c r="C11" s="4">
        <v>18.97</v>
      </c>
      <c r="D11" s="4">
        <v>21.49</v>
      </c>
      <c r="E11" s="4">
        <v>19.43</v>
      </c>
      <c r="F11" s="5">
        <v>9.5858538855281505E-2</v>
      </c>
      <c r="G11" s="5">
        <v>1.3545871245809638E-2</v>
      </c>
    </row>
    <row r="12" spans="1:7" x14ac:dyDescent="0.35">
      <c r="A12" s="3">
        <v>44059</v>
      </c>
      <c r="B12" s="4">
        <v>19.89</v>
      </c>
      <c r="C12" s="4">
        <v>18.440000000000001</v>
      </c>
      <c r="D12" s="4">
        <v>19.43</v>
      </c>
      <c r="E12" s="4">
        <v>19.7</v>
      </c>
      <c r="F12" s="5">
        <v>-1.3896037056098764E-2</v>
      </c>
      <c r="G12" s="5">
        <v>-2.9590586494672166E-3</v>
      </c>
    </row>
    <row r="13" spans="1:7" x14ac:dyDescent="0.35">
      <c r="A13" s="3">
        <v>44060</v>
      </c>
      <c r="B13" s="4">
        <v>20.83</v>
      </c>
      <c r="C13" s="4">
        <v>18.940000000000001</v>
      </c>
      <c r="D13" s="4">
        <v>19.7</v>
      </c>
      <c r="E13" s="4">
        <v>19.78</v>
      </c>
      <c r="F13" s="5">
        <v>-4.0609137055838129E-3</v>
      </c>
      <c r="G13" s="5">
        <v>5.9698052322232353E-3</v>
      </c>
    </row>
    <row r="14" spans="1:7" x14ac:dyDescent="0.35">
      <c r="A14" s="3">
        <v>44061</v>
      </c>
      <c r="B14" s="4">
        <v>21.34</v>
      </c>
      <c r="C14" s="4">
        <v>18.98</v>
      </c>
      <c r="D14" s="4">
        <v>19.78</v>
      </c>
      <c r="E14" s="4">
        <v>20.170000000000002</v>
      </c>
      <c r="F14" s="5">
        <v>-1.9716885743174872E-2</v>
      </c>
      <c r="G14" s="5">
        <v>2.1031396373417444E-2</v>
      </c>
    </row>
    <row r="15" spans="1:7" x14ac:dyDescent="0.35">
      <c r="A15" s="3">
        <v>44062</v>
      </c>
      <c r="B15" s="4">
        <v>19.88</v>
      </c>
      <c r="C15" s="4">
        <v>17.36</v>
      </c>
      <c r="D15" s="4">
        <v>20.170000000000002</v>
      </c>
      <c r="E15" s="4">
        <v>17.850000000000001</v>
      </c>
      <c r="F15" s="5">
        <v>0.11502231036192367</v>
      </c>
      <c r="G15" s="5">
        <v>3.3965750017764473E-2</v>
      </c>
    </row>
    <row r="16" spans="1:7" x14ac:dyDescent="0.35">
      <c r="A16" s="3">
        <v>44063</v>
      </c>
      <c r="B16" s="4">
        <v>23.02</v>
      </c>
      <c r="C16" s="4">
        <v>17.899999999999999</v>
      </c>
      <c r="D16" s="4">
        <v>17.850000000000001</v>
      </c>
      <c r="E16" s="4">
        <v>22.77</v>
      </c>
      <c r="F16" s="5">
        <v>-0.27563025210084025</v>
      </c>
      <c r="G16" s="5">
        <v>-2.0080912100036707E-2</v>
      </c>
    </row>
    <row r="17" spans="1:7" x14ac:dyDescent="0.35">
      <c r="A17" s="3">
        <v>44064</v>
      </c>
      <c r="B17" s="4">
        <v>22.2</v>
      </c>
      <c r="C17" s="4">
        <v>19.62</v>
      </c>
      <c r="D17" s="4">
        <v>22.77</v>
      </c>
      <c r="E17" s="4">
        <v>19.82</v>
      </c>
      <c r="F17" s="5">
        <v>0.12955643390425997</v>
      </c>
      <c r="G17" s="5">
        <v>6.7445437938659758E-2</v>
      </c>
    </row>
    <row r="18" spans="1:7" x14ac:dyDescent="0.35">
      <c r="A18" s="3">
        <v>44065</v>
      </c>
      <c r="B18" s="4">
        <v>26.38</v>
      </c>
      <c r="C18" s="4">
        <v>19.77</v>
      </c>
      <c r="D18" s="4">
        <v>19.82</v>
      </c>
      <c r="E18" s="4">
        <v>26.08</v>
      </c>
      <c r="F18" s="5">
        <v>-0.31584258324924308</v>
      </c>
      <c r="G18" s="5">
        <v>-1.9279344296097678E-2</v>
      </c>
    </row>
    <row r="19" spans="1:7" x14ac:dyDescent="0.35">
      <c r="A19" s="3">
        <v>44066</v>
      </c>
      <c r="B19" s="4">
        <v>26.04</v>
      </c>
      <c r="C19" s="4">
        <v>22.58</v>
      </c>
      <c r="D19" s="4">
        <v>26.08</v>
      </c>
      <c r="E19" s="4">
        <v>24.37</v>
      </c>
      <c r="F19" s="5">
        <v>6.5567484662576558E-2</v>
      </c>
      <c r="G19" s="5">
        <v>1.1986041571840245E-2</v>
      </c>
    </row>
    <row r="20" spans="1:7" x14ac:dyDescent="0.35">
      <c r="A20" s="3">
        <v>44067</v>
      </c>
      <c r="B20" s="4">
        <v>27.11</v>
      </c>
      <c r="C20" s="4">
        <v>23.54</v>
      </c>
      <c r="D20" s="4">
        <v>24.37</v>
      </c>
      <c r="E20" s="4">
        <v>24.29</v>
      </c>
      <c r="F20" s="5">
        <v>3.2827246614690608E-3</v>
      </c>
      <c r="G20" s="5">
        <v>-4.4302825552825498E-2</v>
      </c>
    </row>
    <row r="21" spans="1:7" x14ac:dyDescent="0.35">
      <c r="A21" s="3">
        <v>44068</v>
      </c>
      <c r="B21" s="4">
        <v>24.37</v>
      </c>
      <c r="C21" s="4">
        <v>22.4</v>
      </c>
      <c r="D21" s="4">
        <v>24.29</v>
      </c>
      <c r="E21" s="4">
        <v>23.43</v>
      </c>
      <c r="F21" s="5">
        <v>3.5405516673528203E-2</v>
      </c>
      <c r="G21" s="5">
        <v>6.051025659877951E-2</v>
      </c>
    </row>
    <row r="22" spans="1:7" x14ac:dyDescent="0.35">
      <c r="A22" s="3">
        <v>44069</v>
      </c>
      <c r="B22" s="4">
        <v>26.98</v>
      </c>
      <c r="C22" s="4">
        <v>22.9</v>
      </c>
      <c r="D22" s="4">
        <v>23.43</v>
      </c>
      <c r="E22" s="4">
        <v>26.74</v>
      </c>
      <c r="F22" s="5">
        <v>-0.14127187366623972</v>
      </c>
      <c r="G22" s="5">
        <v>-6.9911827620390277E-3</v>
      </c>
    </row>
    <row r="23" spans="1:7" x14ac:dyDescent="0.35">
      <c r="A23" s="3">
        <v>44070</v>
      </c>
      <c r="B23" s="4">
        <v>26.96</v>
      </c>
      <c r="C23" s="4">
        <v>24.5</v>
      </c>
      <c r="D23" s="4">
        <v>26.74</v>
      </c>
      <c r="E23" s="4">
        <v>25.66</v>
      </c>
      <c r="F23" s="5">
        <v>4.0388930441286441E-2</v>
      </c>
      <c r="G23" s="5">
        <v>7.8493342313868952E-3</v>
      </c>
    </row>
    <row r="24" spans="1:7" x14ac:dyDescent="0.35">
      <c r="A24" s="3">
        <v>44071</v>
      </c>
      <c r="B24" s="4">
        <v>29.95</v>
      </c>
      <c r="C24" s="4">
        <v>26.06</v>
      </c>
      <c r="D24" s="4">
        <v>25.66</v>
      </c>
      <c r="E24" s="4">
        <v>27.83</v>
      </c>
      <c r="F24" s="5">
        <v>-8.4567420109119107E-2</v>
      </c>
      <c r="G24" s="5">
        <v>-3.2768479594767586E-2</v>
      </c>
    </row>
    <row r="25" spans="1:7" x14ac:dyDescent="0.35">
      <c r="A25" s="3">
        <v>44072</v>
      </c>
      <c r="B25" s="4">
        <v>34.520000000000003</v>
      </c>
      <c r="C25" s="4">
        <v>27.4</v>
      </c>
      <c r="D25" s="4">
        <v>27.83</v>
      </c>
      <c r="E25" s="4">
        <v>32.06</v>
      </c>
      <c r="F25" s="5">
        <v>-0.15199425080848017</v>
      </c>
      <c r="G25" s="5">
        <v>-8.6211255498811479E-3</v>
      </c>
    </row>
    <row r="26" spans="1:7" x14ac:dyDescent="0.35">
      <c r="A26" s="3">
        <v>44073</v>
      </c>
      <c r="B26" s="4">
        <v>37.82</v>
      </c>
      <c r="C26" s="4">
        <v>32.020000000000003</v>
      </c>
      <c r="D26" s="4">
        <v>32.06</v>
      </c>
      <c r="E26" s="4">
        <v>33.29</v>
      </c>
      <c r="F26" s="5">
        <v>-3.8365564566437804E-2</v>
      </c>
      <c r="G26" s="5">
        <v>-7.5773906504574606E-2</v>
      </c>
    </row>
    <row r="27" spans="1:7" x14ac:dyDescent="0.35">
      <c r="A27" s="3">
        <v>44074</v>
      </c>
      <c r="B27" s="4">
        <v>36.130000000000003</v>
      </c>
      <c r="C27" s="4">
        <v>31.73</v>
      </c>
      <c r="D27" s="4">
        <v>33.29</v>
      </c>
      <c r="E27" s="4">
        <v>32.83</v>
      </c>
      <c r="F27" s="5">
        <v>1.3817963352358076E-2</v>
      </c>
      <c r="G27" s="5">
        <v>-1.1556922503378475E-2</v>
      </c>
    </row>
    <row r="28" spans="1:7" x14ac:dyDescent="0.35">
      <c r="A28" s="3">
        <v>44075</v>
      </c>
      <c r="B28" s="4">
        <v>37.72</v>
      </c>
      <c r="C28" s="4">
        <v>30.89</v>
      </c>
      <c r="D28" s="4">
        <v>32.83</v>
      </c>
      <c r="E28" s="4">
        <v>34.71</v>
      </c>
      <c r="F28" s="5">
        <v>-5.7264696923545522E-2</v>
      </c>
      <c r="G28" s="5">
        <v>-9.6397475468742888E-2</v>
      </c>
    </row>
    <row r="29" spans="1:7" x14ac:dyDescent="0.35">
      <c r="A29" s="3">
        <v>44076</v>
      </c>
      <c r="B29" s="4">
        <v>35.17</v>
      </c>
      <c r="C29" s="4">
        <v>31.31</v>
      </c>
      <c r="D29" s="4">
        <v>34.71</v>
      </c>
      <c r="E29" s="4">
        <v>32.159999999999997</v>
      </c>
      <c r="F29" s="5">
        <v>7.3465859982714043E-2</v>
      </c>
      <c r="G29" s="5">
        <v>7.5967982520641186E-2</v>
      </c>
    </row>
    <row r="30" spans="1:7" x14ac:dyDescent="0.35">
      <c r="A30" s="3">
        <v>44077</v>
      </c>
      <c r="B30" s="4">
        <v>29.43</v>
      </c>
      <c r="C30" s="4">
        <v>21.78</v>
      </c>
      <c r="D30" s="4">
        <v>32.159999999999997</v>
      </c>
      <c r="E30" s="4">
        <v>23.19</v>
      </c>
      <c r="F30" s="5">
        <v>0.27891791044776104</v>
      </c>
      <c r="G30" s="5">
        <v>0.1304367596571403</v>
      </c>
    </row>
    <row r="31" spans="1:7" x14ac:dyDescent="0.35">
      <c r="A31" s="3">
        <v>44078</v>
      </c>
      <c r="B31" s="4">
        <v>24.25</v>
      </c>
      <c r="C31" s="4">
        <v>21.53</v>
      </c>
      <c r="D31" s="4">
        <v>23.19</v>
      </c>
      <c r="E31" s="4">
        <v>22.25</v>
      </c>
      <c r="F31" s="5">
        <v>4.0534713238464914E-2</v>
      </c>
      <c r="G31" s="5">
        <v>-9.0205511687497797E-3</v>
      </c>
    </row>
    <row r="32" spans="1:7" x14ac:dyDescent="0.35">
      <c r="A32" s="3">
        <v>44079</v>
      </c>
      <c r="B32" s="4">
        <v>22.69</v>
      </c>
      <c r="C32" s="4">
        <v>17.45</v>
      </c>
      <c r="D32" s="4">
        <v>22.25</v>
      </c>
      <c r="E32" s="4">
        <v>18.559999999999999</v>
      </c>
      <c r="F32" s="5">
        <v>0.16584269662921358</v>
      </c>
      <c r="G32" s="5">
        <v>0.13130004405172191</v>
      </c>
    </row>
    <row r="33" spans="1:7" x14ac:dyDescent="0.35">
      <c r="A33" s="3">
        <v>44080</v>
      </c>
      <c r="B33" s="4">
        <v>21.59</v>
      </c>
      <c r="C33" s="4">
        <v>17.63</v>
      </c>
      <c r="D33" s="4">
        <v>18.559999999999999</v>
      </c>
      <c r="E33" s="4">
        <v>21.34</v>
      </c>
      <c r="F33" s="5">
        <v>-0.14978448275862077</v>
      </c>
      <c r="G33" s="5">
        <v>-5.2052261066698469E-2</v>
      </c>
    </row>
    <row r="34" spans="1:7" x14ac:dyDescent="0.35">
      <c r="A34" s="3">
        <v>44081</v>
      </c>
      <c r="B34" s="4">
        <v>22.06</v>
      </c>
      <c r="C34" s="4">
        <v>20.18</v>
      </c>
      <c r="D34" s="4">
        <v>21.34</v>
      </c>
      <c r="E34" s="4">
        <v>21.85</v>
      </c>
      <c r="F34" s="5">
        <v>-2.3898781630740551E-2</v>
      </c>
      <c r="G34" s="5">
        <v>-2.8637046698234414E-3</v>
      </c>
    </row>
    <row r="35" spans="1:7" x14ac:dyDescent="0.35">
      <c r="A35" s="3">
        <v>44082</v>
      </c>
      <c r="B35" s="4">
        <v>21.01</v>
      </c>
      <c r="C35" s="4">
        <v>19.53</v>
      </c>
      <c r="D35" s="4">
        <v>21.6</v>
      </c>
      <c r="E35" s="4">
        <v>20.02</v>
      </c>
      <c r="F35" s="5">
        <v>8.3752860411899444E-2</v>
      </c>
      <c r="G35" s="5">
        <v>4.5942889454339886E-2</v>
      </c>
    </row>
    <row r="36" spans="1:7" x14ac:dyDescent="0.35">
      <c r="A36" s="3">
        <v>44083</v>
      </c>
      <c r="B36" s="4">
        <v>21.14</v>
      </c>
      <c r="C36" s="4">
        <v>19.28</v>
      </c>
      <c r="D36" s="4">
        <v>20.02</v>
      </c>
      <c r="E36" s="4">
        <v>20.88</v>
      </c>
      <c r="F36" s="5">
        <v>-4.2957042957042946E-2</v>
      </c>
      <c r="G36" s="5">
        <v>-4.0598607201066894E-2</v>
      </c>
    </row>
    <row r="37" spans="1:7" x14ac:dyDescent="0.35">
      <c r="A37" s="3">
        <v>44084</v>
      </c>
      <c r="B37" s="4">
        <v>22.01</v>
      </c>
      <c r="C37" s="4">
        <v>20.97</v>
      </c>
      <c r="D37" s="4">
        <v>20.88</v>
      </c>
      <c r="E37" s="4">
        <v>21.04</v>
      </c>
      <c r="F37" s="5">
        <v>-7.6628352490422103E-3</v>
      </c>
      <c r="G37" s="5">
        <v>-4.8241492239783579E-2</v>
      </c>
    </row>
    <row r="38" spans="1:7" x14ac:dyDescent="0.35">
      <c r="A38" s="3">
        <v>44085</v>
      </c>
      <c r="B38" s="4">
        <v>21.39</v>
      </c>
      <c r="C38" s="4">
        <v>20.420000000000002</v>
      </c>
      <c r="D38" s="4">
        <v>21.03</v>
      </c>
      <c r="E38" s="4">
        <v>20.7</v>
      </c>
      <c r="F38" s="5">
        <v>1.6159695817490438E-2</v>
      </c>
      <c r="G38" s="5">
        <v>-1.6028688635931543E-2</v>
      </c>
    </row>
    <row r="39" spans="1:7" x14ac:dyDescent="0.35">
      <c r="A39" s="3">
        <v>44086</v>
      </c>
      <c r="B39" s="4">
        <v>24.01</v>
      </c>
      <c r="C39" s="4">
        <v>20.350000000000001</v>
      </c>
      <c r="D39" s="4">
        <v>20.7</v>
      </c>
      <c r="E39" s="4">
        <v>23.64</v>
      </c>
      <c r="F39" s="5">
        <v>-0.14202898550724652</v>
      </c>
      <c r="G39" s="5">
        <v>-3.7567849407738274E-2</v>
      </c>
    </row>
    <row r="40" spans="1:7" x14ac:dyDescent="0.35">
      <c r="A40" s="3">
        <v>44087</v>
      </c>
      <c r="B40" s="4">
        <v>24.14</v>
      </c>
      <c r="C40" s="4">
        <v>21.85</v>
      </c>
      <c r="D40" s="4">
        <v>23.67</v>
      </c>
      <c r="E40" s="4">
        <v>22.58</v>
      </c>
      <c r="F40" s="5">
        <v>4.4839255499154018E-2</v>
      </c>
      <c r="G40" s="5">
        <v>5.6076693124420318E-2</v>
      </c>
    </row>
    <row r="41" spans="1:7" x14ac:dyDescent="0.35">
      <c r="A41" s="3">
        <v>44088</v>
      </c>
      <c r="B41" s="4">
        <v>24.7</v>
      </c>
      <c r="C41" s="4">
        <v>22.72</v>
      </c>
      <c r="D41" s="4">
        <v>22.58</v>
      </c>
      <c r="E41" s="4">
        <v>24.7</v>
      </c>
      <c r="F41" s="5">
        <v>-9.3888396811337538E-2</v>
      </c>
      <c r="G41" s="5">
        <v>-2.9977066724909962E-2</v>
      </c>
    </row>
    <row r="42" spans="1:7" x14ac:dyDescent="0.35">
      <c r="A42" s="3">
        <v>44089</v>
      </c>
      <c r="B42" s="4">
        <v>23.85</v>
      </c>
      <c r="C42" s="4">
        <v>21.45</v>
      </c>
      <c r="D42" s="4">
        <v>24.7</v>
      </c>
      <c r="E42" s="4">
        <v>21.55</v>
      </c>
      <c r="F42" s="5">
        <v>0.12753036437246956</v>
      </c>
      <c r="G42" s="5">
        <v>3.4724062980437842E-2</v>
      </c>
    </row>
    <row r="43" spans="1:7" x14ac:dyDescent="0.35">
      <c r="A43" s="3">
        <v>44090</v>
      </c>
      <c r="B43" s="4">
        <v>21.65</v>
      </c>
      <c r="C43" s="4">
        <v>20.28</v>
      </c>
      <c r="D43" s="4">
        <v>21.55</v>
      </c>
      <c r="E43" s="4">
        <v>21.01</v>
      </c>
      <c r="F43" s="5">
        <v>2.5058004640371223E-2</v>
      </c>
      <c r="G43" s="5">
        <v>-2.5538224956060951E-3</v>
      </c>
    </row>
    <row r="44" spans="1:7" x14ac:dyDescent="0.35">
      <c r="A44" s="3">
        <v>44091</v>
      </c>
      <c r="B44" s="4">
        <v>23.7</v>
      </c>
      <c r="C44" s="4">
        <v>20.99</v>
      </c>
      <c r="D44" s="4">
        <v>21.01</v>
      </c>
      <c r="E44" s="4">
        <v>22.7</v>
      </c>
      <c r="F44" s="5">
        <v>-8.0437886720609031E-2</v>
      </c>
      <c r="G44" s="5">
        <v>-6.6969788271385333E-2</v>
      </c>
    </row>
    <row r="45" spans="1:7" x14ac:dyDescent="0.35">
      <c r="A45" s="3">
        <v>44092</v>
      </c>
      <c r="B45" s="4">
        <v>22.44</v>
      </c>
      <c r="C45" s="4">
        <v>20.22</v>
      </c>
      <c r="D45" s="4">
        <v>22.7</v>
      </c>
      <c r="E45" s="4">
        <v>20.37</v>
      </c>
      <c r="F45" s="5">
        <v>0.10264317180616733</v>
      </c>
      <c r="G45" s="5">
        <v>1.3015351440160194E-2</v>
      </c>
    </row>
    <row r="46" spans="1:7" x14ac:dyDescent="0.35">
      <c r="A46" s="3">
        <v>44093</v>
      </c>
      <c r="B46" s="4">
        <v>20.420000000000002</v>
      </c>
      <c r="C46" s="4">
        <v>17.88</v>
      </c>
      <c r="D46" s="4">
        <v>20.37</v>
      </c>
      <c r="E46" s="4">
        <v>18.440000000000001</v>
      </c>
      <c r="F46" s="5">
        <v>9.4747177221404022E-2</v>
      </c>
      <c r="G46" s="5">
        <v>-2.0807865373109191E-3</v>
      </c>
    </row>
    <row r="47" spans="1:7" x14ac:dyDescent="0.35">
      <c r="A47" s="3">
        <v>44094</v>
      </c>
      <c r="B47" s="4">
        <v>18.02</v>
      </c>
      <c r="C47" s="4">
        <v>17.21</v>
      </c>
      <c r="D47" s="4">
        <v>18.440000000000001</v>
      </c>
      <c r="E47" s="4">
        <v>17.25</v>
      </c>
      <c r="F47" s="5">
        <v>6.4533622559653003E-2</v>
      </c>
      <c r="G47" s="5">
        <v>3.6987048044228699E-2</v>
      </c>
    </row>
    <row r="48" spans="1:7" x14ac:dyDescent="0.35">
      <c r="A48" s="3">
        <v>44095</v>
      </c>
      <c r="B48" s="4">
        <v>15.9</v>
      </c>
      <c r="C48" s="4">
        <v>14.79</v>
      </c>
      <c r="D48" s="4">
        <v>17.25</v>
      </c>
      <c r="E48" s="4">
        <v>14.93</v>
      </c>
      <c r="F48" s="5">
        <v>0.13449275362318847</v>
      </c>
      <c r="G48" s="5">
        <v>8.3095250929869025E-2</v>
      </c>
    </row>
    <row r="49" spans="1:7" x14ac:dyDescent="0.35">
      <c r="A49" s="3">
        <v>44096</v>
      </c>
      <c r="B49" s="4">
        <v>15.19</v>
      </c>
      <c r="C49" s="4">
        <v>14.84</v>
      </c>
      <c r="D49" s="4">
        <v>14.93</v>
      </c>
      <c r="E49" s="4">
        <v>14.92</v>
      </c>
      <c r="F49" s="5">
        <v>6.6979236436703893E-4</v>
      </c>
      <c r="G49" s="5">
        <v>-1.1934507187160159E-2</v>
      </c>
    </row>
    <row r="50" spans="1:7" x14ac:dyDescent="0.35">
      <c r="A50" s="3">
        <v>44097</v>
      </c>
      <c r="B50" s="4">
        <v>14.33</v>
      </c>
      <c r="C50" s="4">
        <v>13.44</v>
      </c>
      <c r="D50" s="4">
        <v>14.92</v>
      </c>
      <c r="E50" s="4">
        <v>13.89</v>
      </c>
      <c r="F50" s="5">
        <v>6.9034852546916881E-2</v>
      </c>
      <c r="G50" s="5">
        <v>6.989106753812635E-2</v>
      </c>
    </row>
    <row r="51" spans="1:7" x14ac:dyDescent="0.35">
      <c r="A51" s="3">
        <v>44098</v>
      </c>
      <c r="B51" s="4">
        <v>16</v>
      </c>
      <c r="C51" s="4">
        <v>14.78</v>
      </c>
      <c r="D51" s="4">
        <v>13.89</v>
      </c>
      <c r="E51" s="4">
        <v>15.39</v>
      </c>
      <c r="F51" s="5">
        <v>-0.10799136069114468</v>
      </c>
      <c r="G51" s="5">
        <v>-9.0539991879821313E-2</v>
      </c>
    </row>
    <row r="52" spans="1:7" x14ac:dyDescent="0.35">
      <c r="A52" s="3">
        <v>44099</v>
      </c>
      <c r="B52" s="4">
        <v>15.73</v>
      </c>
      <c r="C52" s="4">
        <v>15.08</v>
      </c>
      <c r="D52" s="4">
        <v>15.39</v>
      </c>
      <c r="E52" s="4">
        <v>15.37</v>
      </c>
      <c r="F52" s="5">
        <v>1.299545159194393E-3</v>
      </c>
      <c r="G52" s="5">
        <v>-8.133340970273073E-3</v>
      </c>
    </row>
    <row r="53" spans="1:7" x14ac:dyDescent="0.35">
      <c r="A53" s="3">
        <v>44100</v>
      </c>
      <c r="B53" s="4">
        <v>15.79</v>
      </c>
      <c r="C53" s="4">
        <v>15.09</v>
      </c>
      <c r="D53" s="4">
        <v>15.37</v>
      </c>
      <c r="E53" s="4">
        <v>15.48</v>
      </c>
      <c r="F53" s="5">
        <v>-7.1567989590111125E-3</v>
      </c>
      <c r="G53" s="5">
        <v>-6.2780523833874113E-3</v>
      </c>
    </row>
    <row r="54" spans="1:7" x14ac:dyDescent="0.35">
      <c r="A54" s="3">
        <v>44101</v>
      </c>
      <c r="B54" s="4">
        <v>15.64</v>
      </c>
      <c r="C54" s="4">
        <v>15.13</v>
      </c>
      <c r="D54" s="4">
        <v>15.48</v>
      </c>
      <c r="E54" s="4">
        <v>15.13</v>
      </c>
      <c r="F54" s="5">
        <v>2.2609819121446995E-2</v>
      </c>
      <c r="G54" s="5">
        <v>-9.8805860599044948E-3</v>
      </c>
    </row>
    <row r="55" spans="1:7" x14ac:dyDescent="0.35">
      <c r="A55" s="3">
        <v>44102</v>
      </c>
      <c r="B55" s="4">
        <v>15.66</v>
      </c>
      <c r="C55" s="4">
        <v>14.91</v>
      </c>
      <c r="D55" s="4">
        <v>15.13</v>
      </c>
      <c r="E55" s="4">
        <v>15.25</v>
      </c>
      <c r="F55" s="5">
        <v>-7.931262392597338E-3</v>
      </c>
      <c r="G55" s="5">
        <v>1.0398904201492809E-2</v>
      </c>
    </row>
    <row r="56" spans="1:7" x14ac:dyDescent="0.35">
      <c r="A56" s="3">
        <v>44103</v>
      </c>
      <c r="B56" s="4">
        <v>15.66</v>
      </c>
      <c r="C56" s="4">
        <v>15.03</v>
      </c>
      <c r="D56" s="4">
        <v>15.25</v>
      </c>
      <c r="E56" s="4">
        <v>15.65</v>
      </c>
      <c r="F56" s="5">
        <v>-2.6229508196721429E-2</v>
      </c>
      <c r="G56" s="5">
        <v>-1.6694443659783786E-2</v>
      </c>
    </row>
    <row r="57" spans="1:7" x14ac:dyDescent="0.35">
      <c r="A57" s="3">
        <v>44104</v>
      </c>
      <c r="B57" s="4">
        <v>15.9</v>
      </c>
      <c r="C57" s="4">
        <v>15.34</v>
      </c>
      <c r="D57" s="4">
        <v>15.69</v>
      </c>
      <c r="E57" s="4">
        <v>15.71</v>
      </c>
      <c r="F57" s="5">
        <v>-3.8338658146965798E-3</v>
      </c>
      <c r="G57" s="5">
        <v>2.7783951989335254E-4</v>
      </c>
    </row>
    <row r="58" spans="1:7" x14ac:dyDescent="0.35">
      <c r="A58" s="3">
        <v>44105</v>
      </c>
      <c r="B58" s="4">
        <v>19.03</v>
      </c>
      <c r="C58" s="4">
        <v>15.41</v>
      </c>
      <c r="D58" s="4">
        <v>15.71</v>
      </c>
      <c r="E58" s="4">
        <v>17.72</v>
      </c>
      <c r="F58" s="5">
        <v>-0.12794398472310609</v>
      </c>
      <c r="G58" s="5">
        <v>1.8370296259240804E-2</v>
      </c>
    </row>
    <row r="59" spans="1:7" x14ac:dyDescent="0.35">
      <c r="A59" s="3">
        <v>44106</v>
      </c>
      <c r="B59" s="4">
        <v>18.52</v>
      </c>
      <c r="C59" s="4">
        <v>14.99</v>
      </c>
      <c r="D59" s="4">
        <v>17.72</v>
      </c>
      <c r="E59" s="4">
        <v>15.75</v>
      </c>
      <c r="F59" s="5">
        <v>0.11117381489841982</v>
      </c>
      <c r="G59" s="5">
        <v>2.0894085671413598E-2</v>
      </c>
    </row>
    <row r="60" spans="1:7" x14ac:dyDescent="0.35">
      <c r="A60" s="3">
        <v>44107</v>
      </c>
      <c r="B60" s="4">
        <v>16.850000000000001</v>
      </c>
      <c r="C60" s="4">
        <v>15.56</v>
      </c>
      <c r="D60" s="4">
        <v>15.75</v>
      </c>
      <c r="E60" s="4">
        <v>16.190000000000001</v>
      </c>
      <c r="F60" s="5">
        <v>-2.7936507936507926E-2</v>
      </c>
      <c r="G60" s="5">
        <v>-1.4168811265651282E-3</v>
      </c>
    </row>
    <row r="61" spans="1:7" x14ac:dyDescent="0.35">
      <c r="A61" s="3">
        <v>44108</v>
      </c>
      <c r="B61" s="4">
        <v>16.579999999999998</v>
      </c>
      <c r="C61" s="4">
        <v>16.05</v>
      </c>
      <c r="D61" s="4">
        <v>16.190000000000001</v>
      </c>
      <c r="E61" s="4">
        <v>16.309999999999999</v>
      </c>
      <c r="F61" s="5">
        <v>-7.4119827053735765E-3</v>
      </c>
      <c r="G61" s="5">
        <v>-1.816239316239332E-2</v>
      </c>
    </row>
    <row r="62" spans="1:7" x14ac:dyDescent="0.35">
      <c r="A62" s="3">
        <v>44109</v>
      </c>
      <c r="B62" s="4">
        <v>16.89</v>
      </c>
      <c r="C62" s="4">
        <v>15.94</v>
      </c>
      <c r="D62" s="4">
        <v>16.309999999999999</v>
      </c>
      <c r="E62" s="4">
        <v>16</v>
      </c>
      <c r="F62" s="5">
        <v>1.9006744328632696E-2</v>
      </c>
      <c r="G62" s="5">
        <v>-3.2613936076684169E-3</v>
      </c>
    </row>
    <row r="63" spans="1:7" x14ac:dyDescent="0.35">
      <c r="A63" s="3">
        <v>44110</v>
      </c>
      <c r="B63" s="4">
        <v>15.73</v>
      </c>
      <c r="C63" s="4">
        <v>13.81</v>
      </c>
      <c r="D63" s="4">
        <v>16</v>
      </c>
      <c r="E63" s="4">
        <v>13.84</v>
      </c>
      <c r="F63" s="5">
        <v>0.13500000000000001</v>
      </c>
      <c r="G63" s="5">
        <v>3.6493668023518722E-2</v>
      </c>
    </row>
    <row r="64" spans="1:7" x14ac:dyDescent="0.35">
      <c r="A64" s="3">
        <v>44111</v>
      </c>
      <c r="B64" s="4">
        <v>15.07</v>
      </c>
      <c r="C64" s="4">
        <v>13.21</v>
      </c>
      <c r="D64" s="4">
        <v>13.84</v>
      </c>
      <c r="E64" s="4">
        <v>14.43</v>
      </c>
      <c r="F64" s="5">
        <v>-4.263005780346818E-2</v>
      </c>
      <c r="G64" s="5">
        <v>-3.1098723778788528E-3</v>
      </c>
    </row>
    <row r="65" spans="1:7" x14ac:dyDescent="0.35">
      <c r="A65" s="3">
        <v>44112</v>
      </c>
      <c r="B65" s="4">
        <v>15.49</v>
      </c>
      <c r="C65" s="4">
        <v>13.58</v>
      </c>
      <c r="D65" s="4">
        <v>14.43</v>
      </c>
      <c r="E65" s="4">
        <v>15.07</v>
      </c>
      <c r="F65" s="5">
        <v>-4.4352044352044429E-2</v>
      </c>
      <c r="G65" s="5">
        <v>-2.7170892925038714E-2</v>
      </c>
    </row>
    <row r="66" spans="1:7" x14ac:dyDescent="0.35">
      <c r="A66" s="3">
        <v>44113</v>
      </c>
      <c r="B66" s="4">
        <v>15.79</v>
      </c>
      <c r="C66" s="4">
        <v>14.7</v>
      </c>
      <c r="D66" s="4">
        <v>15.07</v>
      </c>
      <c r="E66" s="4">
        <v>15.24</v>
      </c>
      <c r="F66" s="5">
        <v>-1.1280690112806857E-2</v>
      </c>
      <c r="G66" s="5">
        <v>-4.0461275626423765E-2</v>
      </c>
    </row>
    <row r="67" spans="1:7" x14ac:dyDescent="0.35">
      <c r="A67" s="3">
        <v>44114</v>
      </c>
      <c r="B67" s="4">
        <v>16.100000000000001</v>
      </c>
      <c r="C67" s="4">
        <v>15</v>
      </c>
      <c r="D67" s="4">
        <v>15.24</v>
      </c>
      <c r="E67" s="4">
        <v>15.11</v>
      </c>
      <c r="F67" s="5">
        <v>8.5301837270341796E-3</v>
      </c>
      <c r="G67" s="5">
        <v>-1.4969486330423276E-2</v>
      </c>
    </row>
    <row r="68" spans="1:7" x14ac:dyDescent="0.35">
      <c r="A68" s="3">
        <v>44115</v>
      </c>
      <c r="B68" s="4">
        <v>15.6</v>
      </c>
      <c r="C68" s="4">
        <v>14.76</v>
      </c>
      <c r="D68" s="4">
        <v>15.11</v>
      </c>
      <c r="E68" s="4">
        <v>15.2</v>
      </c>
      <c r="F68" s="5">
        <v>-5.9563203176704604E-3</v>
      </c>
      <c r="G68" s="5">
        <v>-9.4100517687663032E-3</v>
      </c>
    </row>
    <row r="69" spans="1:7" x14ac:dyDescent="0.35">
      <c r="A69" s="3">
        <v>44116</v>
      </c>
      <c r="B69" s="4">
        <v>16.54</v>
      </c>
      <c r="C69" s="4">
        <v>14.71</v>
      </c>
      <c r="D69" s="4">
        <v>15.2</v>
      </c>
      <c r="E69" s="4">
        <v>15.61</v>
      </c>
      <c r="F69" s="5">
        <v>-2.6973684210526372E-2</v>
      </c>
      <c r="G69" s="5">
        <v>-3.3496273739882954E-2</v>
      </c>
    </row>
    <row r="70" spans="1:7" x14ac:dyDescent="0.35">
      <c r="A70" s="3">
        <v>44117</v>
      </c>
      <c r="B70" s="4">
        <v>15.95</v>
      </c>
      <c r="C70" s="4">
        <v>14.97</v>
      </c>
      <c r="D70" s="4">
        <v>15.61</v>
      </c>
      <c r="E70" s="4">
        <v>15.31</v>
      </c>
      <c r="F70" s="5">
        <v>1.9218449711723151E-2</v>
      </c>
      <c r="G70" s="5">
        <v>1.421519216355227E-2</v>
      </c>
    </row>
    <row r="71" spans="1:7" x14ac:dyDescent="0.35">
      <c r="A71" s="3">
        <v>44118</v>
      </c>
      <c r="B71" s="4">
        <v>15.4</v>
      </c>
      <c r="C71" s="4">
        <v>14.2</v>
      </c>
      <c r="D71" s="4">
        <v>15.3</v>
      </c>
      <c r="E71" s="4">
        <v>14.37</v>
      </c>
      <c r="F71" s="5">
        <v>6.1397779229262039E-2</v>
      </c>
      <c r="G71" s="5">
        <v>6.0302561547941336E-3</v>
      </c>
    </row>
    <row r="72" spans="1:7" x14ac:dyDescent="0.35">
      <c r="A72" s="3">
        <v>44119</v>
      </c>
      <c r="B72" s="4">
        <v>14.42</v>
      </c>
      <c r="C72" s="4">
        <v>13.53</v>
      </c>
      <c r="D72" s="4">
        <v>14.38</v>
      </c>
      <c r="E72" s="4">
        <v>14.05</v>
      </c>
      <c r="F72" s="5">
        <v>2.2268615170493944E-2</v>
      </c>
      <c r="G72" s="5">
        <v>3.7192371607185359E-3</v>
      </c>
    </row>
    <row r="73" spans="1:7" x14ac:dyDescent="0.35">
      <c r="A73" s="3">
        <v>44120</v>
      </c>
      <c r="B73" s="4">
        <v>13.83</v>
      </c>
      <c r="C73" s="4">
        <v>13.32</v>
      </c>
      <c r="D73" s="4">
        <v>14.04</v>
      </c>
      <c r="E73" s="4">
        <v>13.36</v>
      </c>
      <c r="F73" s="5">
        <v>4.9110320284697639E-2</v>
      </c>
      <c r="G73" s="5">
        <v>3.2088959491660018E-2</v>
      </c>
    </row>
    <row r="74" spans="1:7" x14ac:dyDescent="0.35">
      <c r="A74" s="3">
        <v>44121</v>
      </c>
      <c r="B74" s="4">
        <v>13.93</v>
      </c>
      <c r="C74" s="4">
        <v>13.28</v>
      </c>
      <c r="D74" s="4">
        <v>13.36</v>
      </c>
      <c r="E74" s="4">
        <v>13.81</v>
      </c>
      <c r="F74" s="5">
        <v>-3.3682634730539007E-2</v>
      </c>
      <c r="G74" s="5">
        <v>-8.3976147491657827E-3</v>
      </c>
    </row>
    <row r="75" spans="1:7" x14ac:dyDescent="0.35">
      <c r="A75" s="3">
        <v>44122</v>
      </c>
      <c r="B75" s="4">
        <v>14.17</v>
      </c>
      <c r="C75" s="4">
        <v>13.57</v>
      </c>
      <c r="D75" s="4">
        <v>13.81</v>
      </c>
      <c r="E75" s="4">
        <v>13.78</v>
      </c>
      <c r="F75" s="5">
        <v>2.1723388848661207E-3</v>
      </c>
      <c r="G75" s="5">
        <v>-2.6556354265563575E-2</v>
      </c>
    </row>
    <row r="76" spans="1:7" x14ac:dyDescent="0.35">
      <c r="A76" s="3">
        <v>44123</v>
      </c>
      <c r="B76" s="4">
        <v>14.07</v>
      </c>
      <c r="C76" s="4">
        <v>13.12</v>
      </c>
      <c r="D76" s="4">
        <v>13.78</v>
      </c>
      <c r="E76" s="4">
        <v>13.29</v>
      </c>
      <c r="F76" s="5">
        <v>3.5558780841799753E-2</v>
      </c>
      <c r="G76" s="5">
        <v>-2.5631540006343378E-3</v>
      </c>
    </row>
    <row r="77" spans="1:7" x14ac:dyDescent="0.35">
      <c r="A77" s="3">
        <v>44124</v>
      </c>
      <c r="B77" s="4">
        <v>13.6</v>
      </c>
      <c r="C77" s="4">
        <v>12.22</v>
      </c>
      <c r="D77" s="4">
        <v>13.29</v>
      </c>
      <c r="E77" s="4">
        <v>12.34</v>
      </c>
      <c r="F77" s="5">
        <v>7.1482317531978867E-2</v>
      </c>
      <c r="G77" s="5">
        <v>2.8122611422998878E-2</v>
      </c>
    </row>
    <row r="78" spans="1:7" x14ac:dyDescent="0.35">
      <c r="A78" s="3">
        <v>44125</v>
      </c>
      <c r="B78" s="4">
        <v>13.16</v>
      </c>
      <c r="C78" s="4">
        <v>12.15</v>
      </c>
      <c r="D78" s="4">
        <v>12.33</v>
      </c>
      <c r="E78" s="4">
        <v>12.22</v>
      </c>
      <c r="F78" s="5">
        <v>9.7244732576984294E-3</v>
      </c>
      <c r="G78" s="5">
        <v>-6.1615230243531993E-2</v>
      </c>
    </row>
    <row r="79" spans="1:7" x14ac:dyDescent="0.35">
      <c r="A79" s="3">
        <v>44126</v>
      </c>
      <c r="B79" s="4">
        <v>13.07</v>
      </c>
      <c r="C79" s="4">
        <v>12.34</v>
      </c>
      <c r="D79" s="4">
        <v>12.21</v>
      </c>
      <c r="E79" s="4">
        <v>12.85</v>
      </c>
      <c r="F79" s="5">
        <v>-5.1554828150572662E-2</v>
      </c>
      <c r="G79" s="5">
        <v>-5.8856588157155221E-2</v>
      </c>
    </row>
    <row r="80" spans="1:7" x14ac:dyDescent="0.35">
      <c r="A80" s="3">
        <v>44127</v>
      </c>
      <c r="B80" s="4">
        <v>12.72</v>
      </c>
      <c r="C80" s="4">
        <v>12.18</v>
      </c>
      <c r="D80" s="4">
        <v>12.82</v>
      </c>
      <c r="E80" s="4">
        <v>12.31</v>
      </c>
      <c r="F80" s="5">
        <v>4.2023346303501907E-2</v>
      </c>
      <c r="G80" s="5">
        <v>1.189384800965021E-2</v>
      </c>
    </row>
    <row r="81" spans="1:7" x14ac:dyDescent="0.35">
      <c r="A81" s="3">
        <v>44128</v>
      </c>
      <c r="B81" s="4">
        <v>12.59</v>
      </c>
      <c r="C81" s="4">
        <v>12.02</v>
      </c>
      <c r="D81" s="4">
        <v>12.31</v>
      </c>
      <c r="E81" s="4">
        <v>12.24</v>
      </c>
      <c r="F81" s="5">
        <v>5.6864337936637366E-3</v>
      </c>
      <c r="G81" s="5">
        <v>-7.275923529555417E-3</v>
      </c>
    </row>
    <row r="82" spans="1:7" x14ac:dyDescent="0.35">
      <c r="A82" s="3">
        <v>44129</v>
      </c>
      <c r="B82" s="4">
        <v>13.17</v>
      </c>
      <c r="C82" s="4">
        <v>11.98</v>
      </c>
      <c r="D82" s="4">
        <v>12.23</v>
      </c>
      <c r="E82" s="4">
        <v>12.75</v>
      </c>
      <c r="F82" s="5">
        <v>-4.1666666666666741E-2</v>
      </c>
      <c r="G82" s="5">
        <v>1.5004241910071547E-2</v>
      </c>
    </row>
    <row r="83" spans="1:7" x14ac:dyDescent="0.35">
      <c r="A83" s="3">
        <v>44130</v>
      </c>
      <c r="B83" s="4">
        <v>12.89</v>
      </c>
      <c r="C83" s="4">
        <v>11.69</v>
      </c>
      <c r="D83" s="4">
        <v>12.75</v>
      </c>
      <c r="E83" s="4">
        <v>11.75</v>
      </c>
      <c r="F83" s="5">
        <v>7.8431372549019662E-2</v>
      </c>
      <c r="G83" s="5">
        <v>3.2606555763362577E-2</v>
      </c>
    </row>
    <row r="84" spans="1:7" x14ac:dyDescent="0.35">
      <c r="A84" s="3">
        <v>44131</v>
      </c>
      <c r="B84" s="4">
        <v>12.52</v>
      </c>
      <c r="C84" s="4">
        <v>11.88</v>
      </c>
      <c r="D84" s="4">
        <v>11.75</v>
      </c>
      <c r="E84" s="4">
        <v>12.12</v>
      </c>
      <c r="F84" s="5">
        <v>-3.1489361702127683E-2</v>
      </c>
      <c r="G84" s="5">
        <v>-2.7040777390552329E-2</v>
      </c>
    </row>
    <row r="85" spans="1:7" x14ac:dyDescent="0.35">
      <c r="A85" s="3">
        <v>44132</v>
      </c>
      <c r="B85" s="4">
        <v>11.8</v>
      </c>
      <c r="C85" s="4">
        <v>10.55</v>
      </c>
      <c r="D85" s="4">
        <v>12.12</v>
      </c>
      <c r="E85" s="4">
        <v>10.77</v>
      </c>
      <c r="F85" s="5">
        <v>0.11138613861386137</v>
      </c>
      <c r="G85" s="5">
        <v>3.7078317729231758E-2</v>
      </c>
    </row>
    <row r="86" spans="1:7" x14ac:dyDescent="0.35">
      <c r="A86" s="3">
        <v>44133</v>
      </c>
      <c r="B86" s="4">
        <v>10.8</v>
      </c>
      <c r="C86" s="4">
        <v>10.36</v>
      </c>
      <c r="D86" s="4">
        <v>10.78</v>
      </c>
      <c r="E86" s="4">
        <v>10.39</v>
      </c>
      <c r="F86" s="5">
        <v>3.5283194057567191E-2</v>
      </c>
      <c r="G86" s="5">
        <v>3.163824369164181E-3</v>
      </c>
    </row>
    <row r="87" spans="1:7" x14ac:dyDescent="0.35">
      <c r="A87" s="3">
        <v>44134</v>
      </c>
      <c r="B87" s="4">
        <v>10.28</v>
      </c>
      <c r="C87" s="4">
        <v>10.050000000000001</v>
      </c>
      <c r="D87" s="4">
        <v>10.39</v>
      </c>
      <c r="E87" s="4">
        <v>10.18</v>
      </c>
      <c r="F87" s="5">
        <v>2.0211742059672799E-2</v>
      </c>
      <c r="G87" s="5">
        <v>1.2334210662125256E-2</v>
      </c>
    </row>
    <row r="88" spans="1:7" x14ac:dyDescent="0.35">
      <c r="A88" s="3">
        <v>44135</v>
      </c>
      <c r="B88" s="4">
        <v>10.3</v>
      </c>
      <c r="C88" s="4">
        <v>9.9009999999999998</v>
      </c>
      <c r="D88" s="4">
        <v>10.18</v>
      </c>
      <c r="E88" s="4">
        <v>9.92</v>
      </c>
      <c r="F88" s="5">
        <v>2.5540275049115935E-2</v>
      </c>
      <c r="G88" s="5">
        <v>-1.0476538823283477E-2</v>
      </c>
    </row>
    <row r="89" spans="1:7" x14ac:dyDescent="0.35">
      <c r="A89" s="3">
        <v>44136</v>
      </c>
      <c r="B89" s="4">
        <v>10.220000000000001</v>
      </c>
      <c r="C89" s="4">
        <v>9.7460000000000004</v>
      </c>
      <c r="D89" s="4">
        <v>9.92</v>
      </c>
      <c r="E89" s="4">
        <v>9.9</v>
      </c>
      <c r="F89" s="5">
        <v>2.0161290322580072E-3</v>
      </c>
      <c r="G89" s="5">
        <v>-2.5803449078263707E-2</v>
      </c>
    </row>
    <row r="90" spans="1:7" x14ac:dyDescent="0.35">
      <c r="A90" s="3">
        <v>44137</v>
      </c>
      <c r="B90" s="4">
        <v>10.25</v>
      </c>
      <c r="C90" s="4">
        <v>9.0559999999999992</v>
      </c>
      <c r="D90" s="4">
        <v>9.8789999999999996</v>
      </c>
      <c r="E90" s="4">
        <v>9.125</v>
      </c>
      <c r="F90" s="5">
        <v>7.8282828282828287E-2</v>
      </c>
      <c r="G90" s="5">
        <v>3.3119092627599156E-2</v>
      </c>
    </row>
    <row r="91" spans="1:7" x14ac:dyDescent="0.35">
      <c r="A91" s="3">
        <v>44138</v>
      </c>
      <c r="B91" s="4">
        <v>9.4269999999999996</v>
      </c>
      <c r="C91" s="4">
        <v>8.6780000000000008</v>
      </c>
      <c r="D91" s="4">
        <v>9.125</v>
      </c>
      <c r="E91" s="4">
        <v>8.891</v>
      </c>
      <c r="F91" s="5">
        <v>2.5643835616438349E-2</v>
      </c>
      <c r="G91" s="5">
        <v>-1.191314095044449E-2</v>
      </c>
    </row>
    <row r="92" spans="1:7" x14ac:dyDescent="0.35">
      <c r="A92" s="3">
        <v>44139</v>
      </c>
      <c r="B92" s="4">
        <v>8.8949999999999996</v>
      </c>
      <c r="C92" s="4">
        <v>8.8740000000000006</v>
      </c>
      <c r="D92" s="4">
        <v>8.891</v>
      </c>
      <c r="E92" s="4">
        <v>8.8740000000000006</v>
      </c>
      <c r="F92" s="5">
        <v>1.9120458891013214E-3</v>
      </c>
      <c r="G92" s="5">
        <v>-1.5456746870001759E-4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A8AE4-7A1C-4EA2-9F6E-A369EAC7B18F}">
  <sheetPr codeName="Sheet16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21.64</v>
      </c>
      <c r="C2" s="4">
        <v>20.27</v>
      </c>
      <c r="D2" s="4">
        <v>20.97</v>
      </c>
      <c r="E2" s="4">
        <v>21.61</v>
      </c>
    </row>
    <row r="3" spans="1:7" x14ac:dyDescent="0.35">
      <c r="A3" s="3">
        <v>44050</v>
      </c>
      <c r="B3" s="4">
        <v>21.69</v>
      </c>
      <c r="C3" s="4">
        <v>19.73</v>
      </c>
      <c r="D3" s="4">
        <v>21.63</v>
      </c>
      <c r="E3" s="4">
        <v>20.82</v>
      </c>
      <c r="F3" s="5">
        <v>3.6557149467838945E-2</v>
      </c>
      <c r="G3" s="5">
        <v>3.9160591332523365E-2</v>
      </c>
    </row>
    <row r="4" spans="1:7" x14ac:dyDescent="0.35">
      <c r="A4" s="3">
        <v>44051</v>
      </c>
      <c r="B4" s="4">
        <v>21.42</v>
      </c>
      <c r="C4" s="4">
        <v>20.74</v>
      </c>
      <c r="D4" s="4">
        <v>20.82</v>
      </c>
      <c r="E4" s="4">
        <v>21.32</v>
      </c>
      <c r="F4" s="5">
        <v>-2.4015369836695388E-2</v>
      </c>
      <c r="G4" s="5">
        <v>-4.739573728166091E-2</v>
      </c>
    </row>
    <row r="5" spans="1:7" x14ac:dyDescent="0.35">
      <c r="A5" s="3">
        <v>44052</v>
      </c>
      <c r="B5" s="4">
        <v>21.97</v>
      </c>
      <c r="C5" s="4">
        <v>20.8</v>
      </c>
      <c r="D5" s="4">
        <v>21.32</v>
      </c>
      <c r="E5" s="4">
        <v>21.92</v>
      </c>
      <c r="F5" s="5">
        <v>-2.8142589118199002E-2</v>
      </c>
      <c r="G5" s="5">
        <v>1.8311701378408318E-2</v>
      </c>
    </row>
    <row r="6" spans="1:7" x14ac:dyDescent="0.35">
      <c r="A6" s="3">
        <v>44053</v>
      </c>
      <c r="B6" s="4">
        <v>22.45</v>
      </c>
      <c r="C6" s="4">
        <v>20.83</v>
      </c>
      <c r="D6" s="4">
        <v>21.88</v>
      </c>
      <c r="E6" s="4">
        <v>21.2</v>
      </c>
      <c r="F6" s="5">
        <v>3.284671532846728E-2</v>
      </c>
      <c r="G6" s="5">
        <v>-1.3913088039356314E-2</v>
      </c>
    </row>
    <row r="7" spans="1:7" x14ac:dyDescent="0.35">
      <c r="A7" s="3">
        <v>44054</v>
      </c>
      <c r="B7" s="4">
        <v>21.43</v>
      </c>
      <c r="C7" s="4">
        <v>19.89</v>
      </c>
      <c r="D7" s="4">
        <v>21.28</v>
      </c>
      <c r="E7" s="4">
        <v>20.47</v>
      </c>
      <c r="F7" s="5">
        <v>3.4433962264150964E-2</v>
      </c>
      <c r="G7" s="5">
        <v>4.2379520355816047E-2</v>
      </c>
    </row>
    <row r="8" spans="1:7" x14ac:dyDescent="0.35">
      <c r="A8" s="3">
        <v>44055</v>
      </c>
      <c r="B8" s="4">
        <v>20.77</v>
      </c>
      <c r="C8" s="4">
        <v>20.100000000000001</v>
      </c>
      <c r="D8" s="4">
        <v>20.260000000000002</v>
      </c>
      <c r="E8" s="4">
        <v>20.34</v>
      </c>
      <c r="F8" s="5">
        <v>6.3507572056668016E-3</v>
      </c>
      <c r="G8" s="5">
        <v>-2.1771256663323912E-2</v>
      </c>
    </row>
    <row r="9" spans="1:7" x14ac:dyDescent="0.35">
      <c r="A9" s="3">
        <v>44056</v>
      </c>
      <c r="B9" s="4">
        <v>21.98</v>
      </c>
      <c r="C9" s="4">
        <v>20.52</v>
      </c>
      <c r="D9" s="4">
        <v>20.34</v>
      </c>
      <c r="E9" s="4">
        <v>20.98</v>
      </c>
      <c r="F9" s="5">
        <v>-3.1465093411995992E-2</v>
      </c>
      <c r="G9" s="5">
        <v>-9.7574834060797144E-2</v>
      </c>
    </row>
    <row r="10" spans="1:7" x14ac:dyDescent="0.35">
      <c r="A10" s="3">
        <v>44057</v>
      </c>
      <c r="B10" s="4">
        <v>21.77</v>
      </c>
      <c r="C10" s="4">
        <v>20.6</v>
      </c>
      <c r="D10" s="4">
        <v>20.9</v>
      </c>
      <c r="E10" s="4">
        <v>21.7</v>
      </c>
      <c r="F10" s="5">
        <v>-3.4318398474737721E-2</v>
      </c>
      <c r="G10" s="5">
        <v>-3.1861072546297331E-2</v>
      </c>
    </row>
    <row r="11" spans="1:7" x14ac:dyDescent="0.35">
      <c r="A11" s="3">
        <v>44058</v>
      </c>
      <c r="B11" s="4">
        <v>22.53</v>
      </c>
      <c r="C11" s="4">
        <v>20.82</v>
      </c>
      <c r="D11" s="4">
        <v>21.7</v>
      </c>
      <c r="E11" s="4">
        <v>21.76</v>
      </c>
      <c r="F11" s="5">
        <v>-2.7649769585254003E-3</v>
      </c>
      <c r="G11" s="5">
        <v>1.3545871245809638E-2</v>
      </c>
    </row>
    <row r="12" spans="1:7" x14ac:dyDescent="0.35">
      <c r="A12" s="3">
        <v>44059</v>
      </c>
      <c r="B12" s="4">
        <v>22.7</v>
      </c>
      <c r="C12" s="4">
        <v>20.84</v>
      </c>
      <c r="D12" s="4">
        <v>21.76</v>
      </c>
      <c r="E12" s="4">
        <v>22.47</v>
      </c>
      <c r="F12" s="5">
        <v>-3.2628676470588092E-2</v>
      </c>
      <c r="G12" s="5">
        <v>-2.9590586494672166E-3</v>
      </c>
    </row>
    <row r="13" spans="1:7" x14ac:dyDescent="0.35">
      <c r="A13" s="3">
        <v>44060</v>
      </c>
      <c r="B13" s="4">
        <v>23.26</v>
      </c>
      <c r="C13" s="4">
        <v>21.5</v>
      </c>
      <c r="D13" s="4">
        <v>22.2</v>
      </c>
      <c r="E13" s="4">
        <v>21.92</v>
      </c>
      <c r="F13" s="5">
        <v>2.447708055184683E-2</v>
      </c>
      <c r="G13" s="5">
        <v>5.9698052322232353E-3</v>
      </c>
    </row>
    <row r="14" spans="1:7" x14ac:dyDescent="0.35">
      <c r="A14" s="3">
        <v>44061</v>
      </c>
      <c r="B14" s="4">
        <v>22.06</v>
      </c>
      <c r="C14" s="4">
        <v>19.93</v>
      </c>
      <c r="D14" s="4">
        <v>21.72</v>
      </c>
      <c r="E14" s="4">
        <v>20.92</v>
      </c>
      <c r="F14" s="5">
        <v>4.5620437956204407E-2</v>
      </c>
      <c r="G14" s="5">
        <v>2.1031396373417444E-2</v>
      </c>
    </row>
    <row r="15" spans="1:7" x14ac:dyDescent="0.35">
      <c r="A15" s="3">
        <v>44062</v>
      </c>
      <c r="B15" s="4">
        <v>20.72</v>
      </c>
      <c r="C15" s="4">
        <v>19.559999999999999</v>
      </c>
      <c r="D15" s="4">
        <v>20.96</v>
      </c>
      <c r="E15" s="4">
        <v>19.78</v>
      </c>
      <c r="F15" s="5">
        <v>5.4493307839388216E-2</v>
      </c>
      <c r="G15" s="5">
        <v>3.3965750017764473E-2</v>
      </c>
    </row>
    <row r="16" spans="1:7" x14ac:dyDescent="0.35">
      <c r="A16" s="3">
        <v>44063</v>
      </c>
      <c r="B16" s="4">
        <v>20.84</v>
      </c>
      <c r="C16" s="4">
        <v>19.739999999999998</v>
      </c>
      <c r="D16" s="4">
        <v>19.78</v>
      </c>
      <c r="E16" s="4">
        <v>20.54</v>
      </c>
      <c r="F16" s="5">
        <v>-3.8422649140545939E-2</v>
      </c>
      <c r="G16" s="5">
        <v>-2.0080912100036707E-2</v>
      </c>
    </row>
    <row r="17" spans="1:7" x14ac:dyDescent="0.35">
      <c r="A17" s="3">
        <v>44064</v>
      </c>
      <c r="B17" s="4">
        <v>34.36</v>
      </c>
      <c r="C17" s="4">
        <v>20.58</v>
      </c>
      <c r="D17" s="4">
        <v>20.72</v>
      </c>
      <c r="E17" s="4">
        <v>31.66</v>
      </c>
      <c r="F17" s="5">
        <v>-0.5413826679649465</v>
      </c>
      <c r="G17" s="5">
        <v>6.7445437938659758E-2</v>
      </c>
    </row>
    <row r="18" spans="1:7" x14ac:dyDescent="0.35">
      <c r="A18" s="3">
        <v>44065</v>
      </c>
      <c r="B18" s="4">
        <v>36.630000000000003</v>
      </c>
      <c r="C18" s="4">
        <v>25.19</v>
      </c>
      <c r="D18" s="4">
        <v>31.66</v>
      </c>
      <c r="E18" s="4">
        <v>27.1</v>
      </c>
      <c r="F18" s="5">
        <v>0.14403032217308898</v>
      </c>
      <c r="G18" s="5">
        <v>-1.9279344296097678E-2</v>
      </c>
    </row>
    <row r="19" spans="1:7" x14ac:dyDescent="0.35">
      <c r="A19" s="3">
        <v>44066</v>
      </c>
      <c r="B19" s="4">
        <v>27.66</v>
      </c>
      <c r="C19" s="4">
        <v>23.98</v>
      </c>
      <c r="D19" s="4">
        <v>27.1</v>
      </c>
      <c r="E19" s="4">
        <v>24.97</v>
      </c>
      <c r="F19" s="5">
        <v>7.8597785977859824E-2</v>
      </c>
      <c r="G19" s="5">
        <v>1.1986041571840245E-2</v>
      </c>
    </row>
    <row r="20" spans="1:7" x14ac:dyDescent="0.35">
      <c r="A20" s="3">
        <v>44067</v>
      </c>
      <c r="B20" s="4">
        <v>27.37</v>
      </c>
      <c r="C20" s="4">
        <v>23.29</v>
      </c>
      <c r="D20" s="4">
        <v>24.97</v>
      </c>
      <c r="E20" s="4">
        <v>24.19</v>
      </c>
      <c r="F20" s="5">
        <v>3.1237484981978314E-2</v>
      </c>
      <c r="G20" s="5">
        <v>-4.4302825552825498E-2</v>
      </c>
    </row>
    <row r="21" spans="1:7" x14ac:dyDescent="0.35">
      <c r="A21" s="3">
        <v>44068</v>
      </c>
      <c r="B21" s="4">
        <v>24.65</v>
      </c>
      <c r="C21" s="4">
        <v>20.94</v>
      </c>
      <c r="D21" s="4">
        <v>24.19</v>
      </c>
      <c r="E21" s="4">
        <v>22.07</v>
      </c>
      <c r="F21" s="5">
        <v>8.7639520463001275E-2</v>
      </c>
      <c r="G21" s="5">
        <v>6.051025659877951E-2</v>
      </c>
    </row>
    <row r="22" spans="1:7" x14ac:dyDescent="0.35">
      <c r="A22" s="3">
        <v>44069</v>
      </c>
      <c r="B22" s="4">
        <v>26.94</v>
      </c>
      <c r="C22" s="4">
        <v>21.1</v>
      </c>
      <c r="D22" s="4">
        <v>22.07</v>
      </c>
      <c r="E22" s="4">
        <v>23.64</v>
      </c>
      <c r="F22" s="5">
        <v>-7.113729043951067E-2</v>
      </c>
      <c r="G22" s="5">
        <v>-6.9911827620390277E-3</v>
      </c>
    </row>
    <row r="23" spans="1:7" x14ac:dyDescent="0.35">
      <c r="A23" s="3">
        <v>44070</v>
      </c>
      <c r="B23" s="4">
        <v>24.47</v>
      </c>
      <c r="C23" s="4">
        <v>21.2</v>
      </c>
      <c r="D23" s="4">
        <v>23.64</v>
      </c>
      <c r="E23" s="4">
        <v>21.65</v>
      </c>
      <c r="F23" s="5">
        <v>8.4179357021996748E-2</v>
      </c>
      <c r="G23" s="5">
        <v>7.8493342313868952E-3</v>
      </c>
    </row>
    <row r="24" spans="1:7" x14ac:dyDescent="0.35">
      <c r="A24" s="3">
        <v>44071</v>
      </c>
      <c r="B24" s="4">
        <v>23.19</v>
      </c>
      <c r="C24" s="4">
        <v>21.19</v>
      </c>
      <c r="D24" s="4">
        <v>21.65</v>
      </c>
      <c r="E24" s="4">
        <v>22.67</v>
      </c>
      <c r="F24" s="5">
        <v>-4.7113163972286598E-2</v>
      </c>
      <c r="G24" s="5">
        <v>-3.2768479594767586E-2</v>
      </c>
    </row>
    <row r="25" spans="1:7" x14ac:dyDescent="0.35">
      <c r="A25" s="3">
        <v>44072</v>
      </c>
      <c r="B25" s="4">
        <v>23.49</v>
      </c>
      <c r="C25" s="4">
        <v>22.04</v>
      </c>
      <c r="D25" s="4">
        <v>22.67</v>
      </c>
      <c r="E25" s="4">
        <v>23.01</v>
      </c>
      <c r="F25" s="5">
        <v>-1.4997794441993895E-2</v>
      </c>
      <c r="G25" s="5">
        <v>-8.6211255498811479E-3</v>
      </c>
    </row>
    <row r="26" spans="1:7" x14ac:dyDescent="0.35">
      <c r="A26" s="3">
        <v>44073</v>
      </c>
      <c r="B26" s="4">
        <v>23.45</v>
      </c>
      <c r="C26" s="4">
        <v>21.9</v>
      </c>
      <c r="D26" s="4">
        <v>23.01</v>
      </c>
      <c r="E26" s="4">
        <v>22.67</v>
      </c>
      <c r="F26" s="5">
        <v>1.4776184267709658E-2</v>
      </c>
      <c r="G26" s="5">
        <v>-7.5773906504574606E-2</v>
      </c>
    </row>
    <row r="27" spans="1:7" x14ac:dyDescent="0.35">
      <c r="A27" s="3">
        <v>44074</v>
      </c>
      <c r="B27" s="4">
        <v>23</v>
      </c>
      <c r="C27" s="4">
        <v>22.02</v>
      </c>
      <c r="D27" s="4">
        <v>22.67</v>
      </c>
      <c r="E27" s="4">
        <v>22.02</v>
      </c>
      <c r="F27" s="5">
        <v>2.86722540802824E-2</v>
      </c>
      <c r="G27" s="5">
        <v>-1.1556922503378475E-2</v>
      </c>
    </row>
    <row r="28" spans="1:7" x14ac:dyDescent="0.35">
      <c r="A28" s="3">
        <v>44075</v>
      </c>
      <c r="B28" s="4">
        <v>22.7</v>
      </c>
      <c r="C28" s="4">
        <v>21.42</v>
      </c>
      <c r="D28" s="4">
        <v>22.02</v>
      </c>
      <c r="E28" s="4">
        <v>21.87</v>
      </c>
      <c r="F28" s="5">
        <v>6.8119891008173727E-3</v>
      </c>
      <c r="G28" s="5">
        <v>-9.6397475468742888E-2</v>
      </c>
    </row>
    <row r="29" spans="1:7" x14ac:dyDescent="0.35">
      <c r="A29" s="3">
        <v>44076</v>
      </c>
      <c r="B29" s="4">
        <v>22.54</v>
      </c>
      <c r="C29" s="4">
        <v>20.149999999999999</v>
      </c>
      <c r="D29" s="4">
        <v>21.87</v>
      </c>
      <c r="E29" s="4">
        <v>20.85</v>
      </c>
      <c r="F29" s="5">
        <v>4.6639231824416982E-2</v>
      </c>
      <c r="G29" s="5">
        <v>7.5967982520641186E-2</v>
      </c>
    </row>
    <row r="30" spans="1:7" x14ac:dyDescent="0.35">
      <c r="A30" s="3">
        <v>44077</v>
      </c>
      <c r="B30" s="4">
        <v>20.99</v>
      </c>
      <c r="C30" s="4">
        <v>15.56</v>
      </c>
      <c r="D30" s="4">
        <v>20.85</v>
      </c>
      <c r="E30" s="4">
        <v>16.96</v>
      </c>
      <c r="F30" s="5">
        <v>0.1865707434052758</v>
      </c>
      <c r="G30" s="5">
        <v>0.1304367596571403</v>
      </c>
    </row>
    <row r="31" spans="1:7" x14ac:dyDescent="0.35">
      <c r="A31" s="3">
        <v>44078</v>
      </c>
      <c r="B31" s="4">
        <v>18.940000000000001</v>
      </c>
      <c r="C31" s="4">
        <v>15.74</v>
      </c>
      <c r="D31" s="4">
        <v>16.96</v>
      </c>
      <c r="E31" s="4">
        <v>16.739999999999998</v>
      </c>
      <c r="F31" s="5">
        <v>1.2971698113207641E-2</v>
      </c>
      <c r="G31" s="5">
        <v>-9.0205511687497797E-3</v>
      </c>
    </row>
    <row r="32" spans="1:7" x14ac:dyDescent="0.35">
      <c r="A32" s="3">
        <v>44079</v>
      </c>
      <c r="B32" s="4">
        <v>19.37</v>
      </c>
      <c r="C32" s="4">
        <v>15.01</v>
      </c>
      <c r="D32" s="4">
        <v>16.739999999999998</v>
      </c>
      <c r="E32" s="4">
        <v>16.649999999999999</v>
      </c>
      <c r="F32" s="5">
        <v>5.3763440860215006E-3</v>
      </c>
      <c r="G32" s="5">
        <v>0.13130004405172191</v>
      </c>
    </row>
    <row r="33" spans="1:7" x14ac:dyDescent="0.35">
      <c r="A33" s="3">
        <v>44080</v>
      </c>
      <c r="B33" s="4">
        <v>16.190000000000001</v>
      </c>
      <c r="C33" s="4">
        <v>14.88</v>
      </c>
      <c r="D33" s="4">
        <v>15.3</v>
      </c>
      <c r="E33" s="4">
        <v>15.91</v>
      </c>
      <c r="F33" s="5">
        <v>4.4444444444444398E-2</v>
      </c>
      <c r="G33" s="5">
        <v>-5.2052261066698469E-2</v>
      </c>
    </row>
    <row r="34" spans="1:7" x14ac:dyDescent="0.35">
      <c r="A34" s="3">
        <v>44081</v>
      </c>
      <c r="B34" s="4">
        <v>16.309999999999999</v>
      </c>
      <c r="C34" s="4">
        <v>15.26</v>
      </c>
      <c r="D34" s="4">
        <v>15.91</v>
      </c>
      <c r="E34" s="4">
        <v>15.75</v>
      </c>
      <c r="F34" s="5">
        <v>1.0056568196103122E-2</v>
      </c>
      <c r="G34" s="5">
        <v>-2.8637046698234414E-3</v>
      </c>
    </row>
    <row r="35" spans="1:7" x14ac:dyDescent="0.35">
      <c r="A35" s="3">
        <v>44082</v>
      </c>
      <c r="B35" s="4">
        <v>17.32</v>
      </c>
      <c r="C35" s="4">
        <v>15.56</v>
      </c>
      <c r="D35" s="4">
        <v>16.78</v>
      </c>
      <c r="E35" s="4">
        <v>16.010000000000002</v>
      </c>
      <c r="F35" s="5">
        <v>-1.6507936507936583E-2</v>
      </c>
      <c r="G35" s="5">
        <v>4.5942889454339886E-2</v>
      </c>
    </row>
    <row r="36" spans="1:7" x14ac:dyDescent="0.35">
      <c r="A36" s="3">
        <v>44083</v>
      </c>
      <c r="B36" s="4">
        <v>17.399999999999999</v>
      </c>
      <c r="C36" s="4">
        <v>15.87</v>
      </c>
      <c r="D36" s="4">
        <v>16.010000000000002</v>
      </c>
      <c r="E36" s="4">
        <v>17.29</v>
      </c>
      <c r="F36" s="5">
        <v>-7.9950031230480834E-2</v>
      </c>
      <c r="G36" s="5">
        <v>-4.0598607201066894E-2</v>
      </c>
    </row>
    <row r="37" spans="1:7" x14ac:dyDescent="0.35">
      <c r="A37" s="3">
        <v>44084</v>
      </c>
      <c r="B37" s="4">
        <v>16.84</v>
      </c>
      <c r="C37" s="4">
        <v>16.32</v>
      </c>
      <c r="D37" s="4">
        <v>16.350000000000001</v>
      </c>
      <c r="E37" s="4">
        <v>16.760000000000002</v>
      </c>
      <c r="F37" s="5">
        <v>3.0653556969346352E-2</v>
      </c>
      <c r="G37" s="5">
        <v>-4.8241492239783579E-2</v>
      </c>
    </row>
    <row r="38" spans="1:7" x14ac:dyDescent="0.35">
      <c r="A38" s="3">
        <v>44085</v>
      </c>
      <c r="B38" s="4">
        <v>20.57</v>
      </c>
      <c r="C38" s="4">
        <v>16.309999999999999</v>
      </c>
      <c r="D38" s="4">
        <v>16.88</v>
      </c>
      <c r="E38" s="4">
        <v>18.739999999999998</v>
      </c>
      <c r="F38" s="5">
        <v>-0.11813842482100223</v>
      </c>
      <c r="G38" s="5">
        <v>-1.6028688635931543E-2</v>
      </c>
    </row>
    <row r="39" spans="1:7" x14ac:dyDescent="0.35">
      <c r="A39" s="3">
        <v>44086</v>
      </c>
      <c r="B39" s="4">
        <v>20.02</v>
      </c>
      <c r="C39" s="4">
        <v>18.02</v>
      </c>
      <c r="D39" s="4">
        <v>18.739999999999998</v>
      </c>
      <c r="E39" s="4">
        <v>18.07</v>
      </c>
      <c r="F39" s="5">
        <v>3.5752401280682911E-2</v>
      </c>
      <c r="G39" s="5">
        <v>-3.7567849407738274E-2</v>
      </c>
    </row>
    <row r="40" spans="1:7" x14ac:dyDescent="0.35">
      <c r="A40" s="3">
        <v>44087</v>
      </c>
      <c r="B40" s="4">
        <v>19.48</v>
      </c>
      <c r="C40" s="4">
        <v>17.11</v>
      </c>
      <c r="D40" s="4">
        <v>18.07</v>
      </c>
      <c r="E40" s="4">
        <v>17.3</v>
      </c>
      <c r="F40" s="5">
        <v>4.2612064194798016E-2</v>
      </c>
      <c r="G40" s="5">
        <v>5.6076693124420318E-2</v>
      </c>
    </row>
    <row r="41" spans="1:7" x14ac:dyDescent="0.35">
      <c r="A41" s="3">
        <v>44088</v>
      </c>
      <c r="B41" s="4">
        <v>17.88</v>
      </c>
      <c r="C41" s="4">
        <v>16.82</v>
      </c>
      <c r="D41" s="4">
        <v>17.010000000000002</v>
      </c>
      <c r="E41" s="4">
        <v>16.89</v>
      </c>
      <c r="F41" s="5">
        <v>2.3699421965317935E-2</v>
      </c>
      <c r="G41" s="5">
        <v>-2.9977066724909962E-2</v>
      </c>
    </row>
    <row r="42" spans="1:7" x14ac:dyDescent="0.35">
      <c r="A42" s="3">
        <v>44089</v>
      </c>
      <c r="B42" s="4">
        <v>17.809999999999999</v>
      </c>
      <c r="C42" s="4">
        <v>16.45</v>
      </c>
      <c r="D42" s="4">
        <v>17.39</v>
      </c>
      <c r="E42" s="4">
        <v>16.510000000000002</v>
      </c>
      <c r="F42" s="5">
        <v>2.2498519834221353E-2</v>
      </c>
      <c r="G42" s="5">
        <v>3.4724062980437842E-2</v>
      </c>
    </row>
    <row r="43" spans="1:7" x14ac:dyDescent="0.35">
      <c r="A43" s="3">
        <v>44090</v>
      </c>
      <c r="B43" s="4">
        <v>16.88</v>
      </c>
      <c r="C43" s="4">
        <v>15.8</v>
      </c>
      <c r="D43" s="4">
        <v>16.510000000000002</v>
      </c>
      <c r="E43" s="4">
        <v>16.239999999999998</v>
      </c>
      <c r="F43" s="5">
        <v>1.635372501514254E-2</v>
      </c>
      <c r="G43" s="5">
        <v>-2.5538224956060951E-3</v>
      </c>
    </row>
    <row r="44" spans="1:7" x14ac:dyDescent="0.35">
      <c r="A44" s="3">
        <v>44091</v>
      </c>
      <c r="B44" s="4">
        <v>18</v>
      </c>
      <c r="C44" s="4">
        <v>15.65</v>
      </c>
      <c r="D44" s="4">
        <v>16.239999999999998</v>
      </c>
      <c r="E44" s="4">
        <v>15.9</v>
      </c>
      <c r="F44" s="5">
        <v>2.0935960591132896E-2</v>
      </c>
      <c r="G44" s="5">
        <v>-6.6969788271385333E-2</v>
      </c>
    </row>
    <row r="45" spans="1:7" x14ac:dyDescent="0.35">
      <c r="A45" s="3">
        <v>44092</v>
      </c>
      <c r="B45" s="4">
        <v>16.38</v>
      </c>
      <c r="C45" s="4">
        <v>15</v>
      </c>
      <c r="D45" s="4">
        <v>15.9</v>
      </c>
      <c r="E45" s="4">
        <v>15.07</v>
      </c>
      <c r="F45" s="5">
        <v>5.2201257861635209E-2</v>
      </c>
      <c r="G45" s="5">
        <v>1.3015351440160194E-2</v>
      </c>
    </row>
    <row r="46" spans="1:7" x14ac:dyDescent="0.35">
      <c r="A46" s="3">
        <v>44093</v>
      </c>
      <c r="B46" s="4">
        <v>15.59</v>
      </c>
      <c r="C46" s="4">
        <v>15.22</v>
      </c>
      <c r="D46" s="4">
        <v>15.2</v>
      </c>
      <c r="E46" s="4">
        <v>15.36</v>
      </c>
      <c r="F46" s="5">
        <v>-1.9243530192435188E-2</v>
      </c>
      <c r="G46" s="5">
        <v>-2.0807865373109191E-3</v>
      </c>
    </row>
    <row r="47" spans="1:7" x14ac:dyDescent="0.35">
      <c r="A47" s="3">
        <v>44094</v>
      </c>
      <c r="B47" s="4">
        <v>17.940000000000001</v>
      </c>
      <c r="C47" s="4">
        <v>14.65</v>
      </c>
      <c r="D47" s="4">
        <v>15.25</v>
      </c>
      <c r="E47" s="4">
        <v>15.8</v>
      </c>
      <c r="F47" s="5">
        <v>-2.8645833333333481E-2</v>
      </c>
      <c r="G47" s="5">
        <v>3.6987048044228699E-2</v>
      </c>
    </row>
    <row r="48" spans="1:7" x14ac:dyDescent="0.35">
      <c r="A48" s="3">
        <v>44095</v>
      </c>
      <c r="B48" s="4">
        <v>15.8</v>
      </c>
      <c r="C48" s="4">
        <v>13.44</v>
      </c>
      <c r="D48" s="4">
        <v>15.8</v>
      </c>
      <c r="E48" s="4">
        <v>14.02</v>
      </c>
      <c r="F48" s="5">
        <v>0.11265822784810131</v>
      </c>
      <c r="G48" s="5">
        <v>8.3095250929869025E-2</v>
      </c>
    </row>
    <row r="49" spans="1:7" x14ac:dyDescent="0.35">
      <c r="A49" s="3">
        <v>44096</v>
      </c>
      <c r="B49" s="4">
        <v>14.85</v>
      </c>
      <c r="C49" s="4">
        <v>13.22</v>
      </c>
      <c r="D49" s="4">
        <v>14.02</v>
      </c>
      <c r="E49" s="4">
        <v>14.03</v>
      </c>
      <c r="F49" s="5">
        <v>-7.1326676176886039E-4</v>
      </c>
      <c r="G49" s="5">
        <v>-1.1934507187160159E-2</v>
      </c>
    </row>
    <row r="50" spans="1:7" x14ac:dyDescent="0.35">
      <c r="A50" s="3">
        <v>44097</v>
      </c>
      <c r="B50" s="4">
        <v>14.85</v>
      </c>
      <c r="C50" s="4">
        <v>12.75</v>
      </c>
      <c r="D50" s="4">
        <v>14.03</v>
      </c>
      <c r="E50" s="4">
        <v>12.98</v>
      </c>
      <c r="F50" s="5">
        <v>7.4839629365644922E-2</v>
      </c>
      <c r="G50" s="5">
        <v>6.989106753812635E-2</v>
      </c>
    </row>
    <row r="51" spans="1:7" x14ac:dyDescent="0.35">
      <c r="A51" s="3">
        <v>44098</v>
      </c>
      <c r="B51" s="4">
        <v>15.42</v>
      </c>
      <c r="C51" s="4">
        <v>13.05</v>
      </c>
      <c r="D51" s="4">
        <v>12.62</v>
      </c>
      <c r="E51" s="4">
        <v>14.32</v>
      </c>
      <c r="F51" s="5">
        <v>-0.1032357473035439</v>
      </c>
      <c r="G51" s="5">
        <v>-9.0539991879821313E-2</v>
      </c>
    </row>
    <row r="52" spans="1:7" x14ac:dyDescent="0.35">
      <c r="A52" s="3">
        <v>44099</v>
      </c>
      <c r="B52" s="4">
        <v>15</v>
      </c>
      <c r="C52" s="4">
        <v>13.05</v>
      </c>
      <c r="D52" s="4">
        <v>14.35</v>
      </c>
      <c r="E52" s="4">
        <v>14.33</v>
      </c>
      <c r="F52" s="5">
        <v>-6.9832402234637492E-4</v>
      </c>
      <c r="G52" s="5">
        <v>-8.133340970273073E-3</v>
      </c>
    </row>
    <row r="53" spans="1:7" x14ac:dyDescent="0.35">
      <c r="A53" s="3">
        <v>44100</v>
      </c>
      <c r="B53" s="4">
        <v>16.489999999999998</v>
      </c>
      <c r="C53" s="4">
        <v>14.06</v>
      </c>
      <c r="D53" s="4">
        <v>14.33</v>
      </c>
      <c r="E53" s="4">
        <v>15.18</v>
      </c>
      <c r="F53" s="5">
        <v>-5.9316120027913533E-2</v>
      </c>
      <c r="G53" s="5">
        <v>-6.2780523833874113E-3</v>
      </c>
    </row>
    <row r="54" spans="1:7" x14ac:dyDescent="0.35">
      <c r="A54" s="3">
        <v>44101</v>
      </c>
      <c r="B54" s="4">
        <v>15.47</v>
      </c>
      <c r="C54" s="4">
        <v>14.08</v>
      </c>
      <c r="D54" s="4">
        <v>15.18</v>
      </c>
      <c r="E54" s="4">
        <v>14.6</v>
      </c>
      <c r="F54" s="5">
        <v>3.820816864295129E-2</v>
      </c>
      <c r="G54" s="5">
        <v>-9.8805860599044948E-3</v>
      </c>
    </row>
    <row r="55" spans="1:7" x14ac:dyDescent="0.35">
      <c r="A55" s="3">
        <v>44102</v>
      </c>
      <c r="B55" s="4">
        <v>15.33</v>
      </c>
      <c r="C55" s="4">
        <v>14.49</v>
      </c>
      <c r="D55" s="4">
        <v>14.6</v>
      </c>
      <c r="E55" s="4">
        <v>14.79</v>
      </c>
      <c r="F55" s="5">
        <v>-1.3013698630137016E-2</v>
      </c>
      <c r="G55" s="5">
        <v>1.0398904201492809E-2</v>
      </c>
    </row>
    <row r="56" spans="1:7" x14ac:dyDescent="0.35">
      <c r="A56" s="3">
        <v>44103</v>
      </c>
      <c r="B56" s="4">
        <v>15.1</v>
      </c>
      <c r="C56" s="4">
        <v>14</v>
      </c>
      <c r="D56" s="4">
        <v>14.79</v>
      </c>
      <c r="E56" s="4">
        <v>14.39</v>
      </c>
      <c r="F56" s="5">
        <v>2.7045300878972167E-2</v>
      </c>
      <c r="G56" s="5">
        <v>-1.6694443659783786E-2</v>
      </c>
    </row>
    <row r="57" spans="1:7" x14ac:dyDescent="0.35">
      <c r="A57" s="3">
        <v>44104</v>
      </c>
      <c r="B57" s="4">
        <v>14.82</v>
      </c>
      <c r="C57" s="4">
        <v>13.99</v>
      </c>
      <c r="D57" s="4">
        <v>14.39</v>
      </c>
      <c r="E57" s="4">
        <v>14.27</v>
      </c>
      <c r="F57" s="5">
        <v>8.3391243919389568E-3</v>
      </c>
      <c r="G57" s="5">
        <v>2.7783951989335254E-4</v>
      </c>
    </row>
    <row r="58" spans="1:7" x14ac:dyDescent="0.35">
      <c r="A58" s="3">
        <v>44105</v>
      </c>
      <c r="B58" s="4">
        <v>14.35</v>
      </c>
      <c r="C58" s="4">
        <v>13.99</v>
      </c>
      <c r="D58" s="4">
        <v>14.33</v>
      </c>
      <c r="E58" s="4">
        <v>14.05</v>
      </c>
      <c r="F58" s="5">
        <v>1.5416958654519863E-2</v>
      </c>
      <c r="G58" s="5">
        <v>1.8370296259240804E-2</v>
      </c>
    </row>
    <row r="59" spans="1:7" x14ac:dyDescent="0.35">
      <c r="A59" s="3">
        <v>44106</v>
      </c>
      <c r="B59" s="4">
        <v>14.51</v>
      </c>
      <c r="C59" s="4">
        <v>13.01</v>
      </c>
      <c r="D59" s="4">
        <v>14.14</v>
      </c>
      <c r="E59" s="4">
        <v>13.44</v>
      </c>
      <c r="F59" s="5">
        <v>4.3416370106761693E-2</v>
      </c>
      <c r="G59" s="5">
        <v>2.0894085671413598E-2</v>
      </c>
    </row>
    <row r="60" spans="1:7" x14ac:dyDescent="0.35">
      <c r="A60" s="3">
        <v>44107</v>
      </c>
      <c r="B60" s="4">
        <v>14.12</v>
      </c>
      <c r="C60" s="4">
        <v>13.57</v>
      </c>
      <c r="D60" s="4">
        <v>13.64</v>
      </c>
      <c r="E60" s="4">
        <v>13.97</v>
      </c>
      <c r="F60" s="5">
        <v>-3.9434523809523947E-2</v>
      </c>
      <c r="G60" s="5">
        <v>-1.4168811265651282E-3</v>
      </c>
    </row>
    <row r="61" spans="1:7" x14ac:dyDescent="0.35">
      <c r="A61" s="3">
        <v>44108</v>
      </c>
      <c r="B61" s="4">
        <v>14.1</v>
      </c>
      <c r="C61" s="4">
        <v>13.55</v>
      </c>
      <c r="D61" s="4">
        <v>14.01</v>
      </c>
      <c r="E61" s="4">
        <v>13.86</v>
      </c>
      <c r="F61" s="5">
        <v>7.8740157480315931E-3</v>
      </c>
      <c r="G61" s="5">
        <v>-1.816239316239332E-2</v>
      </c>
    </row>
    <row r="62" spans="1:7" x14ac:dyDescent="0.35">
      <c r="A62" s="3">
        <v>44109</v>
      </c>
      <c r="B62" s="4">
        <v>15.12</v>
      </c>
      <c r="C62" s="4">
        <v>13.8</v>
      </c>
      <c r="D62" s="4">
        <v>13.86</v>
      </c>
      <c r="E62" s="4">
        <v>14.19</v>
      </c>
      <c r="F62" s="5">
        <v>-2.3809523809523725E-2</v>
      </c>
      <c r="G62" s="5">
        <v>-3.2613936076684169E-3</v>
      </c>
    </row>
    <row r="63" spans="1:7" x14ac:dyDescent="0.35">
      <c r="A63" s="3">
        <v>44110</v>
      </c>
      <c r="B63" s="4">
        <v>14.07</v>
      </c>
      <c r="C63" s="4">
        <v>13.44</v>
      </c>
      <c r="D63" s="4">
        <v>14.21</v>
      </c>
      <c r="E63" s="4">
        <v>13.46</v>
      </c>
      <c r="F63" s="5">
        <v>5.1444679351655975E-2</v>
      </c>
      <c r="G63" s="5">
        <v>3.6493668023518722E-2</v>
      </c>
    </row>
    <row r="64" spans="1:7" x14ac:dyDescent="0.35">
      <c r="A64" s="3">
        <v>44111</v>
      </c>
      <c r="B64" s="4">
        <v>13.7</v>
      </c>
      <c r="C64" s="4">
        <v>13.22</v>
      </c>
      <c r="D64" s="4">
        <v>13.46</v>
      </c>
      <c r="E64" s="4">
        <v>13.37</v>
      </c>
      <c r="F64" s="5">
        <v>6.6864784546806222E-3</v>
      </c>
      <c r="G64" s="5">
        <v>-3.1098723778788528E-3</v>
      </c>
    </row>
    <row r="65" spans="1:7" x14ac:dyDescent="0.35">
      <c r="A65" s="3">
        <v>44112</v>
      </c>
      <c r="B65" s="4">
        <v>14.18</v>
      </c>
      <c r="C65" s="4">
        <v>13.63</v>
      </c>
      <c r="D65" s="4">
        <v>13.37</v>
      </c>
      <c r="E65" s="4">
        <v>13.9</v>
      </c>
      <c r="F65" s="5">
        <v>-3.9640987284966345E-2</v>
      </c>
      <c r="G65" s="5">
        <v>-2.7170892925038714E-2</v>
      </c>
    </row>
    <row r="66" spans="1:7" x14ac:dyDescent="0.35">
      <c r="A66" s="3">
        <v>44113</v>
      </c>
      <c r="B66" s="4">
        <v>14.4</v>
      </c>
      <c r="C66" s="4">
        <v>13.26</v>
      </c>
      <c r="D66" s="4">
        <v>13.55</v>
      </c>
      <c r="E66" s="4">
        <v>14.29</v>
      </c>
      <c r="F66" s="5">
        <v>-2.8057553956834402E-2</v>
      </c>
      <c r="G66" s="5">
        <v>-4.0461275626423765E-2</v>
      </c>
    </row>
    <row r="67" spans="1:7" x14ac:dyDescent="0.35">
      <c r="A67" s="3">
        <v>44114</v>
      </c>
      <c r="B67" s="4">
        <v>15.02</v>
      </c>
      <c r="C67" s="4">
        <v>14.33</v>
      </c>
      <c r="D67" s="4">
        <v>14.22</v>
      </c>
      <c r="E67" s="4">
        <v>14.34</v>
      </c>
      <c r="F67" s="5">
        <v>-3.4989503149056578E-3</v>
      </c>
      <c r="G67" s="5">
        <v>-1.4969486330423276E-2</v>
      </c>
    </row>
    <row r="68" spans="1:7" x14ac:dyDescent="0.35">
      <c r="A68" s="3">
        <v>44115</v>
      </c>
      <c r="B68" s="4">
        <v>14.59</v>
      </c>
      <c r="C68" s="4">
        <v>14.23</v>
      </c>
      <c r="D68" s="4">
        <v>14.34</v>
      </c>
      <c r="E68" s="4">
        <v>14.36</v>
      </c>
      <c r="F68" s="5">
        <v>-1.3947001394700731E-3</v>
      </c>
      <c r="G68" s="5">
        <v>-9.4100517687663032E-3</v>
      </c>
    </row>
    <row r="69" spans="1:7" x14ac:dyDescent="0.35">
      <c r="A69" s="3">
        <v>44116</v>
      </c>
      <c r="B69" s="4">
        <v>14.9</v>
      </c>
      <c r="C69" s="4">
        <v>14.44</v>
      </c>
      <c r="D69" s="4">
        <v>14.36</v>
      </c>
      <c r="E69" s="4">
        <v>14.56</v>
      </c>
      <c r="F69" s="5">
        <v>-1.3927576601671321E-2</v>
      </c>
      <c r="G69" s="5">
        <v>-3.3496273739882954E-2</v>
      </c>
    </row>
    <row r="70" spans="1:7" x14ac:dyDescent="0.35">
      <c r="A70" s="3">
        <v>44117</v>
      </c>
      <c r="B70" s="4">
        <v>14.54</v>
      </c>
      <c r="C70" s="4">
        <v>14</v>
      </c>
      <c r="D70" s="4">
        <v>14.56</v>
      </c>
      <c r="E70" s="4">
        <v>14.03</v>
      </c>
      <c r="F70" s="5">
        <v>3.6401098901098994E-2</v>
      </c>
      <c r="G70" s="5">
        <v>1.421519216355227E-2</v>
      </c>
    </row>
    <row r="71" spans="1:7" x14ac:dyDescent="0.35">
      <c r="A71" s="3">
        <v>44118</v>
      </c>
      <c r="B71" s="4">
        <v>14.34</v>
      </c>
      <c r="C71" s="4">
        <v>13.85</v>
      </c>
      <c r="D71" s="4">
        <v>14.03</v>
      </c>
      <c r="E71" s="4">
        <v>14.04</v>
      </c>
      <c r="F71" s="5">
        <v>-7.1275837491091565E-4</v>
      </c>
      <c r="G71" s="5">
        <v>6.0302561547941336E-3</v>
      </c>
    </row>
    <row r="72" spans="1:7" x14ac:dyDescent="0.35">
      <c r="A72" s="3">
        <v>44119</v>
      </c>
      <c r="B72" s="4">
        <v>14.18</v>
      </c>
      <c r="C72" s="4">
        <v>13.69</v>
      </c>
      <c r="D72" s="4">
        <v>14.04</v>
      </c>
      <c r="E72" s="4">
        <v>13.82</v>
      </c>
      <c r="F72" s="5">
        <v>1.5669515669515577E-2</v>
      </c>
      <c r="G72" s="5">
        <v>3.7192371607185359E-3</v>
      </c>
    </row>
    <row r="73" spans="1:7" x14ac:dyDescent="0.35">
      <c r="A73" s="3">
        <v>44120</v>
      </c>
      <c r="B73" s="4">
        <v>13.77</v>
      </c>
      <c r="C73" s="4">
        <v>13.41</v>
      </c>
      <c r="D73" s="4">
        <v>13.82</v>
      </c>
      <c r="E73" s="4">
        <v>13.58</v>
      </c>
      <c r="F73" s="5">
        <v>1.7366136034732249E-2</v>
      </c>
      <c r="G73" s="5">
        <v>3.2088959491660018E-2</v>
      </c>
    </row>
    <row r="74" spans="1:7" x14ac:dyDescent="0.35">
      <c r="A74" s="3">
        <v>44121</v>
      </c>
      <c r="B74" s="4">
        <v>13.83</v>
      </c>
      <c r="C74" s="4">
        <v>13.54</v>
      </c>
      <c r="D74" s="4">
        <v>13.58</v>
      </c>
      <c r="E74" s="4">
        <v>13.79</v>
      </c>
      <c r="F74" s="5">
        <v>-1.5463917525773141E-2</v>
      </c>
      <c r="G74" s="5">
        <v>-8.3976147491657827E-3</v>
      </c>
    </row>
    <row r="75" spans="1:7" x14ac:dyDescent="0.35">
      <c r="A75" s="3">
        <v>44122</v>
      </c>
      <c r="B75" s="4">
        <v>14.01</v>
      </c>
      <c r="C75" s="4">
        <v>13.56</v>
      </c>
      <c r="D75" s="4">
        <v>13.79</v>
      </c>
      <c r="E75" s="4">
        <v>13.62</v>
      </c>
      <c r="F75" s="5">
        <v>1.2327773749093551E-2</v>
      </c>
      <c r="G75" s="5">
        <v>-2.6556354265563575E-2</v>
      </c>
    </row>
    <row r="76" spans="1:7" x14ac:dyDescent="0.35">
      <c r="A76" s="3">
        <v>44123</v>
      </c>
      <c r="B76" s="4">
        <v>14.13</v>
      </c>
      <c r="C76" s="4">
        <v>13.47</v>
      </c>
      <c r="D76" s="4">
        <v>13.62</v>
      </c>
      <c r="E76" s="4">
        <v>13.74</v>
      </c>
      <c r="F76" s="5">
        <v>-8.8105726872247381E-3</v>
      </c>
      <c r="G76" s="5">
        <v>-2.5631540006343378E-3</v>
      </c>
    </row>
    <row r="77" spans="1:7" x14ac:dyDescent="0.35">
      <c r="A77" s="3">
        <v>44124</v>
      </c>
      <c r="B77" s="4">
        <v>13.95</v>
      </c>
      <c r="C77" s="4">
        <v>13.05</v>
      </c>
      <c r="D77" s="4">
        <v>13.74</v>
      </c>
      <c r="E77" s="4">
        <v>13.05</v>
      </c>
      <c r="F77" s="5">
        <v>5.0218340611353662E-2</v>
      </c>
      <c r="G77" s="5">
        <v>2.8122611422998878E-2</v>
      </c>
    </row>
    <row r="78" spans="1:7" x14ac:dyDescent="0.35">
      <c r="A78" s="3">
        <v>44125</v>
      </c>
      <c r="B78" s="4">
        <v>14.33</v>
      </c>
      <c r="C78" s="4">
        <v>13.42</v>
      </c>
      <c r="D78" s="4">
        <v>13.05</v>
      </c>
      <c r="E78" s="4">
        <v>13.72</v>
      </c>
      <c r="F78" s="5">
        <v>-5.1340996168582453E-2</v>
      </c>
      <c r="G78" s="5">
        <v>-6.1615230243531993E-2</v>
      </c>
    </row>
    <row r="79" spans="1:7" x14ac:dyDescent="0.35">
      <c r="A79" s="3">
        <v>44126</v>
      </c>
      <c r="B79" s="4">
        <v>14.08</v>
      </c>
      <c r="C79" s="4">
        <v>13.54</v>
      </c>
      <c r="D79" s="4">
        <v>13.72</v>
      </c>
      <c r="E79" s="4">
        <v>13.67</v>
      </c>
      <c r="F79" s="5">
        <v>3.6443148688046767E-3</v>
      </c>
      <c r="G79" s="5">
        <v>-5.8856588157155221E-2</v>
      </c>
    </row>
    <row r="80" spans="1:7" x14ac:dyDescent="0.35">
      <c r="A80" s="3">
        <v>44127</v>
      </c>
      <c r="B80" s="4">
        <v>13.77</v>
      </c>
      <c r="C80" s="4">
        <v>13.48</v>
      </c>
      <c r="D80" s="4">
        <v>13.67</v>
      </c>
      <c r="E80" s="4">
        <v>13.58</v>
      </c>
      <c r="F80" s="5">
        <v>6.5837600585223477E-3</v>
      </c>
      <c r="G80" s="5">
        <v>1.189384800965021E-2</v>
      </c>
    </row>
    <row r="81" spans="1:7" x14ac:dyDescent="0.35">
      <c r="A81" s="3">
        <v>44128</v>
      </c>
      <c r="B81" s="4">
        <v>13.94</v>
      </c>
      <c r="C81" s="4">
        <v>13.56</v>
      </c>
      <c r="D81" s="4">
        <v>13.58</v>
      </c>
      <c r="E81" s="4">
        <v>13.57</v>
      </c>
      <c r="F81" s="5">
        <v>7.3637702503681624E-4</v>
      </c>
      <c r="G81" s="5">
        <v>-7.275923529555417E-3</v>
      </c>
    </row>
    <row r="82" spans="1:7" x14ac:dyDescent="0.35">
      <c r="A82" s="3">
        <v>44129</v>
      </c>
      <c r="B82" s="4">
        <v>13.64</v>
      </c>
      <c r="C82" s="4">
        <v>13.3</v>
      </c>
      <c r="D82" s="4">
        <v>13.57</v>
      </c>
      <c r="E82" s="4">
        <v>13.43</v>
      </c>
      <c r="F82" s="5">
        <v>1.0316875460574804E-2</v>
      </c>
      <c r="G82" s="5">
        <v>1.5004241910071547E-2</v>
      </c>
    </row>
    <row r="83" spans="1:7" x14ac:dyDescent="0.35">
      <c r="A83" s="3">
        <v>44130</v>
      </c>
      <c r="B83" s="4">
        <v>13.5</v>
      </c>
      <c r="C83" s="4">
        <v>13.01</v>
      </c>
      <c r="D83" s="4">
        <v>13.43</v>
      </c>
      <c r="E83" s="4">
        <v>13.07</v>
      </c>
      <c r="F83" s="5">
        <v>2.6805658972449686E-2</v>
      </c>
      <c r="G83" s="5">
        <v>3.2606555763362577E-2</v>
      </c>
    </row>
    <row r="84" spans="1:7" x14ac:dyDescent="0.35">
      <c r="A84" s="3">
        <v>44131</v>
      </c>
      <c r="B84" s="4">
        <v>13.69</v>
      </c>
      <c r="C84" s="4">
        <v>13.05</v>
      </c>
      <c r="D84" s="4">
        <v>13.07</v>
      </c>
      <c r="E84" s="4">
        <v>13.19</v>
      </c>
      <c r="F84" s="5">
        <v>-9.1813312930373314E-3</v>
      </c>
      <c r="G84" s="5">
        <v>-2.7040777390552329E-2</v>
      </c>
    </row>
    <row r="85" spans="1:7" x14ac:dyDescent="0.35">
      <c r="A85" s="3">
        <v>44132</v>
      </c>
      <c r="B85" s="4">
        <v>12.9</v>
      </c>
      <c r="C85" s="4">
        <v>12.41</v>
      </c>
      <c r="D85" s="4">
        <v>13.19</v>
      </c>
      <c r="E85" s="4">
        <v>12.68</v>
      </c>
      <c r="F85" s="5">
        <v>3.8665655799848375E-2</v>
      </c>
      <c r="G85" s="5">
        <v>3.7078317729231758E-2</v>
      </c>
    </row>
    <row r="86" spans="1:7" x14ac:dyDescent="0.35">
      <c r="A86" s="3">
        <v>44133</v>
      </c>
      <c r="B86" s="4">
        <v>13.64</v>
      </c>
      <c r="C86" s="4">
        <v>12.61</v>
      </c>
      <c r="D86" s="4">
        <v>12.68</v>
      </c>
      <c r="E86" s="4">
        <v>12.71</v>
      </c>
      <c r="F86" s="5">
        <v>-2.3659305993690705E-3</v>
      </c>
      <c r="G86" s="5">
        <v>3.163824369164181E-3</v>
      </c>
    </row>
    <row r="87" spans="1:7" x14ac:dyDescent="0.35">
      <c r="A87" s="3">
        <v>44134</v>
      </c>
      <c r="B87" s="4">
        <v>12.85</v>
      </c>
      <c r="C87" s="4">
        <v>12.36</v>
      </c>
      <c r="D87" s="4">
        <v>12.71</v>
      </c>
      <c r="E87" s="4">
        <v>12.54</v>
      </c>
      <c r="F87" s="5">
        <v>1.3375295043273172E-2</v>
      </c>
      <c r="G87" s="5">
        <v>1.2334210662125256E-2</v>
      </c>
    </row>
    <row r="88" spans="1:7" x14ac:dyDescent="0.35">
      <c r="A88" s="3">
        <v>44135</v>
      </c>
      <c r="B88" s="4">
        <v>12.88</v>
      </c>
      <c r="C88" s="4">
        <v>12.38</v>
      </c>
      <c r="D88" s="4">
        <v>12.54</v>
      </c>
      <c r="E88" s="4">
        <v>12.61</v>
      </c>
      <c r="F88" s="5">
        <v>-5.5821371610844661E-3</v>
      </c>
      <c r="G88" s="5">
        <v>-1.0476538823283477E-2</v>
      </c>
    </row>
    <row r="89" spans="1:7" x14ac:dyDescent="0.35">
      <c r="A89" s="3">
        <v>44136</v>
      </c>
      <c r="B89" s="4">
        <v>13.15</v>
      </c>
      <c r="C89" s="4">
        <v>12.51</v>
      </c>
      <c r="D89" s="4">
        <v>12.61</v>
      </c>
      <c r="E89" s="4">
        <v>12.93</v>
      </c>
      <c r="F89" s="5">
        <v>-2.5376685170499735E-2</v>
      </c>
      <c r="G89" s="5">
        <v>-2.5803449078263707E-2</v>
      </c>
    </row>
    <row r="90" spans="1:7" x14ac:dyDescent="0.35">
      <c r="A90" s="3">
        <v>44137</v>
      </c>
      <c r="B90" s="4">
        <v>13.98</v>
      </c>
      <c r="C90" s="4">
        <v>12.55</v>
      </c>
      <c r="D90" s="4">
        <v>12.93</v>
      </c>
      <c r="E90" s="4">
        <v>12.84</v>
      </c>
      <c r="F90" s="5">
        <v>6.9605568445475496E-3</v>
      </c>
      <c r="G90" s="5">
        <v>3.3119092627599156E-2</v>
      </c>
    </row>
    <row r="91" spans="1:7" x14ac:dyDescent="0.35">
      <c r="A91" s="3">
        <v>44138</v>
      </c>
      <c r="B91" s="4">
        <v>16.760000000000002</v>
      </c>
      <c r="C91" s="4">
        <v>13.32</v>
      </c>
      <c r="D91" s="4">
        <v>14.47</v>
      </c>
      <c r="E91" s="4">
        <v>14.3</v>
      </c>
      <c r="F91" s="5">
        <v>-0.11370716510903423</v>
      </c>
      <c r="G91" s="5">
        <v>-1.191314095044449E-2</v>
      </c>
    </row>
    <row r="92" spans="1:7" x14ac:dyDescent="0.35">
      <c r="A92" s="3">
        <v>44139</v>
      </c>
      <c r="B92" s="4">
        <v>14.33</v>
      </c>
      <c r="C92" s="4">
        <v>14.12</v>
      </c>
      <c r="D92" s="4">
        <v>14.3</v>
      </c>
      <c r="E92" s="4">
        <v>14.17</v>
      </c>
      <c r="F92" s="5">
        <v>9.0909090909091494E-3</v>
      </c>
      <c r="G92" s="5">
        <v>-1.5456746870001759E-4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05879-DA8C-4F0D-AE58-A5778D7BB53A}">
  <sheetPr codeName="Sheet17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10.3</v>
      </c>
      <c r="C2" s="4">
        <v>9.4529999999999994</v>
      </c>
      <c r="D2" s="4">
        <v>9.5340000000000007</v>
      </c>
      <c r="E2" s="4">
        <v>10.24</v>
      </c>
    </row>
    <row r="3" spans="1:7" x14ac:dyDescent="0.35">
      <c r="A3" s="3">
        <v>44050</v>
      </c>
      <c r="B3" s="4">
        <v>10.29</v>
      </c>
      <c r="C3" s="4">
        <v>9.2360000000000007</v>
      </c>
      <c r="D3" s="4">
        <v>10.24</v>
      </c>
      <c r="E3" s="4">
        <v>10.14</v>
      </c>
      <c r="F3" s="5">
        <v>9.765625E-3</v>
      </c>
      <c r="G3" s="5">
        <v>3.9160591332523365E-2</v>
      </c>
    </row>
    <row r="4" spans="1:7" x14ac:dyDescent="0.35">
      <c r="A4" s="3">
        <v>44051</v>
      </c>
      <c r="B4" s="4">
        <v>13.67</v>
      </c>
      <c r="C4" s="4">
        <v>9.9410000000000007</v>
      </c>
      <c r="D4" s="4">
        <v>10.14</v>
      </c>
      <c r="E4" s="4">
        <v>12.73</v>
      </c>
      <c r="F4" s="5">
        <v>-0.25542406311637067</v>
      </c>
      <c r="G4" s="5">
        <v>-4.739573728166091E-2</v>
      </c>
    </row>
    <row r="5" spans="1:7" x14ac:dyDescent="0.35">
      <c r="A5" s="3">
        <v>44052</v>
      </c>
      <c r="B5" s="4">
        <v>14.48</v>
      </c>
      <c r="C5" s="4">
        <v>12.01</v>
      </c>
      <c r="D5" s="4">
        <v>12.73</v>
      </c>
      <c r="E5" s="4">
        <v>13.83</v>
      </c>
      <c r="F5" s="5">
        <v>-8.6410054988216745E-2</v>
      </c>
      <c r="G5" s="5">
        <v>1.8311701378408318E-2</v>
      </c>
    </row>
    <row r="6" spans="1:7" x14ac:dyDescent="0.35">
      <c r="A6" s="3">
        <v>44053</v>
      </c>
      <c r="B6" s="4">
        <v>14.09</v>
      </c>
      <c r="C6" s="4">
        <v>12.7</v>
      </c>
      <c r="D6" s="4">
        <v>13.83</v>
      </c>
      <c r="E6" s="4">
        <v>13.49</v>
      </c>
      <c r="F6" s="5">
        <v>2.4584237165582112E-2</v>
      </c>
      <c r="G6" s="5">
        <v>-1.3913088039356314E-2</v>
      </c>
    </row>
    <row r="7" spans="1:7" x14ac:dyDescent="0.35">
      <c r="A7" s="3">
        <v>44054</v>
      </c>
      <c r="B7" s="4">
        <v>13.54</v>
      </c>
      <c r="C7" s="4">
        <v>12.17</v>
      </c>
      <c r="D7" s="4">
        <v>13.49</v>
      </c>
      <c r="E7" s="4">
        <v>12.98</v>
      </c>
      <c r="F7" s="5">
        <v>3.7805782060785775E-2</v>
      </c>
      <c r="G7" s="5">
        <v>4.2379520355816047E-2</v>
      </c>
    </row>
    <row r="8" spans="1:7" x14ac:dyDescent="0.35">
      <c r="A8" s="3">
        <v>44055</v>
      </c>
      <c r="B8" s="4">
        <v>16.86</v>
      </c>
      <c r="C8" s="4">
        <v>12.59</v>
      </c>
      <c r="D8" s="4">
        <v>12.98</v>
      </c>
      <c r="E8" s="4">
        <v>16.48</v>
      </c>
      <c r="F8" s="5">
        <v>-0.26964560862865938</v>
      </c>
      <c r="G8" s="5">
        <v>-2.1771256663323912E-2</v>
      </c>
    </row>
    <row r="9" spans="1:7" x14ac:dyDescent="0.35">
      <c r="A9" s="3">
        <v>44056</v>
      </c>
      <c r="B9" s="4">
        <v>18.34</v>
      </c>
      <c r="C9" s="4">
        <v>16.010000000000002</v>
      </c>
      <c r="D9" s="4">
        <v>16.48</v>
      </c>
      <c r="E9" s="4">
        <v>17.21</v>
      </c>
      <c r="F9" s="5">
        <v>-4.4296116504854322E-2</v>
      </c>
      <c r="G9" s="5">
        <v>-9.7574834060797144E-2</v>
      </c>
    </row>
    <row r="10" spans="1:7" x14ac:dyDescent="0.35">
      <c r="A10" s="3">
        <v>44057</v>
      </c>
      <c r="B10" s="4">
        <v>17.62</v>
      </c>
      <c r="C10" s="4">
        <v>16.350000000000001</v>
      </c>
      <c r="D10" s="4">
        <v>17.21</v>
      </c>
      <c r="E10" s="4">
        <v>16.98</v>
      </c>
      <c r="F10" s="5">
        <v>1.3364323067983741E-2</v>
      </c>
      <c r="G10" s="5">
        <v>-3.1861072546297331E-2</v>
      </c>
    </row>
    <row r="11" spans="1:7" x14ac:dyDescent="0.35">
      <c r="A11" s="3">
        <v>44058</v>
      </c>
      <c r="B11" s="4">
        <v>19.79</v>
      </c>
      <c r="C11" s="4">
        <v>16.510000000000002</v>
      </c>
      <c r="D11" s="4">
        <v>16.98</v>
      </c>
      <c r="E11" s="4">
        <v>19.22</v>
      </c>
      <c r="F11" s="5">
        <v>-0.1319199057714957</v>
      </c>
      <c r="G11" s="5">
        <v>1.3545871245809638E-2</v>
      </c>
    </row>
    <row r="12" spans="1:7" x14ac:dyDescent="0.35">
      <c r="A12" s="3">
        <v>44059</v>
      </c>
      <c r="B12" s="4">
        <v>20</v>
      </c>
      <c r="C12" s="4">
        <v>18.52</v>
      </c>
      <c r="D12" s="4">
        <v>19.22</v>
      </c>
      <c r="E12" s="4">
        <v>18.829999999999998</v>
      </c>
      <c r="F12" s="5">
        <v>2.0291363163371545E-2</v>
      </c>
      <c r="G12" s="5">
        <v>-2.9590586494672166E-3</v>
      </c>
    </row>
    <row r="13" spans="1:7" x14ac:dyDescent="0.35">
      <c r="A13" s="3">
        <v>44060</v>
      </c>
      <c r="B13" s="4">
        <v>19.71</v>
      </c>
      <c r="C13" s="4">
        <v>15.87</v>
      </c>
      <c r="D13" s="4">
        <v>18.829999999999998</v>
      </c>
      <c r="E13" s="4">
        <v>16.86</v>
      </c>
      <c r="F13" s="5">
        <v>0.10462028677642055</v>
      </c>
      <c r="G13" s="5">
        <v>5.9698052322232353E-3</v>
      </c>
    </row>
    <row r="14" spans="1:7" x14ac:dyDescent="0.35">
      <c r="A14" s="3">
        <v>44061</v>
      </c>
      <c r="B14" s="4">
        <v>17.71</v>
      </c>
      <c r="C14" s="4">
        <v>14.71</v>
      </c>
      <c r="D14" s="4">
        <v>16.86</v>
      </c>
      <c r="E14" s="4">
        <v>16.2</v>
      </c>
      <c r="F14" s="5">
        <v>3.9145907473309594E-2</v>
      </c>
      <c r="G14" s="5">
        <v>2.1031396373417444E-2</v>
      </c>
    </row>
    <row r="15" spans="1:7" x14ac:dyDescent="0.35">
      <c r="A15" s="3">
        <v>44062</v>
      </c>
      <c r="B15" s="4">
        <v>17.25</v>
      </c>
      <c r="C15" s="4">
        <v>14.88</v>
      </c>
      <c r="D15" s="4">
        <v>16.2</v>
      </c>
      <c r="E15" s="4">
        <v>16.18</v>
      </c>
      <c r="F15" s="5">
        <v>1.2345679012345512E-3</v>
      </c>
      <c r="G15" s="5">
        <v>3.3965750017764473E-2</v>
      </c>
    </row>
    <row r="16" spans="1:7" x14ac:dyDescent="0.35">
      <c r="A16" s="3">
        <v>44063</v>
      </c>
      <c r="B16" s="4">
        <v>16.77</v>
      </c>
      <c r="C16" s="4">
        <v>15.76</v>
      </c>
      <c r="D16" s="4">
        <v>16.18</v>
      </c>
      <c r="E16" s="4">
        <v>16.05</v>
      </c>
      <c r="F16" s="5">
        <v>8.0346106304078901E-3</v>
      </c>
      <c r="G16" s="5">
        <v>-2.0080912100036707E-2</v>
      </c>
    </row>
    <row r="17" spans="1:7" x14ac:dyDescent="0.35">
      <c r="A17" s="3">
        <v>44064</v>
      </c>
      <c r="B17" s="4">
        <v>16.14</v>
      </c>
      <c r="C17" s="4">
        <v>12.86</v>
      </c>
      <c r="D17" s="4">
        <v>16.05</v>
      </c>
      <c r="E17" s="4">
        <v>13.83</v>
      </c>
      <c r="F17" s="5">
        <v>0.13831775700934579</v>
      </c>
      <c r="G17" s="5">
        <v>6.7445437938659758E-2</v>
      </c>
    </row>
    <row r="18" spans="1:7" x14ac:dyDescent="0.35">
      <c r="A18" s="3">
        <v>44065</v>
      </c>
      <c r="B18" s="4">
        <v>16.350000000000001</v>
      </c>
      <c r="C18" s="4">
        <v>13.67</v>
      </c>
      <c r="D18" s="4">
        <v>13.83</v>
      </c>
      <c r="E18" s="4">
        <v>15.84</v>
      </c>
      <c r="F18" s="5">
        <v>-0.14533622559652937</v>
      </c>
      <c r="G18" s="5">
        <v>-1.9279344296097678E-2</v>
      </c>
    </row>
    <row r="19" spans="1:7" x14ac:dyDescent="0.35">
      <c r="A19" s="3">
        <v>44066</v>
      </c>
      <c r="B19" s="4">
        <v>16</v>
      </c>
      <c r="C19" s="4">
        <v>14.66</v>
      </c>
      <c r="D19" s="4">
        <v>15.84</v>
      </c>
      <c r="E19" s="4">
        <v>15.16</v>
      </c>
      <c r="F19" s="5">
        <v>4.2929292929292928E-2</v>
      </c>
      <c r="G19" s="5">
        <v>1.1986041571840245E-2</v>
      </c>
    </row>
    <row r="20" spans="1:7" x14ac:dyDescent="0.35">
      <c r="A20" s="3">
        <v>44067</v>
      </c>
      <c r="B20" s="4">
        <v>15.88</v>
      </c>
      <c r="C20" s="4">
        <v>14.72</v>
      </c>
      <c r="D20" s="4">
        <v>15.16</v>
      </c>
      <c r="E20" s="4">
        <v>15.14</v>
      </c>
      <c r="F20" s="5">
        <v>1.3192612137202797E-3</v>
      </c>
      <c r="G20" s="5">
        <v>-4.4302825552825498E-2</v>
      </c>
    </row>
    <row r="21" spans="1:7" x14ac:dyDescent="0.35">
      <c r="A21" s="3">
        <v>44068</v>
      </c>
      <c r="B21" s="4">
        <v>15.37</v>
      </c>
      <c r="C21" s="4">
        <v>13.51</v>
      </c>
      <c r="D21" s="4">
        <v>15.14</v>
      </c>
      <c r="E21" s="4">
        <v>14.13</v>
      </c>
      <c r="F21" s="5">
        <v>6.6710700132100342E-2</v>
      </c>
      <c r="G21" s="5">
        <v>6.051025659877951E-2</v>
      </c>
    </row>
    <row r="22" spans="1:7" x14ac:dyDescent="0.35">
      <c r="A22" s="3">
        <v>44069</v>
      </c>
      <c r="B22" s="4">
        <v>15.68</v>
      </c>
      <c r="C22" s="4">
        <v>14.07</v>
      </c>
      <c r="D22" s="4">
        <v>14.13</v>
      </c>
      <c r="E22" s="4">
        <v>15.2</v>
      </c>
      <c r="F22" s="5">
        <v>-7.5725406935597928E-2</v>
      </c>
      <c r="G22" s="5">
        <v>-6.9911827620390277E-3</v>
      </c>
    </row>
    <row r="23" spans="1:7" x14ac:dyDescent="0.35">
      <c r="A23" s="3">
        <v>44070</v>
      </c>
      <c r="B23" s="4">
        <v>15.52</v>
      </c>
      <c r="C23" s="4">
        <v>14.01</v>
      </c>
      <c r="D23" s="4">
        <v>15.2</v>
      </c>
      <c r="E23" s="4">
        <v>14.52</v>
      </c>
      <c r="F23" s="5">
        <v>4.4736842105263186E-2</v>
      </c>
      <c r="G23" s="5">
        <v>7.8493342313868952E-3</v>
      </c>
    </row>
    <row r="24" spans="1:7" x14ac:dyDescent="0.35">
      <c r="A24" s="3">
        <v>44071</v>
      </c>
      <c r="B24" s="4">
        <v>15.5</v>
      </c>
      <c r="C24" s="4">
        <v>14.23</v>
      </c>
      <c r="D24" s="4">
        <v>14.52</v>
      </c>
      <c r="E24" s="4">
        <v>15.12</v>
      </c>
      <c r="F24" s="5">
        <v>-4.1322314049586861E-2</v>
      </c>
      <c r="G24" s="5">
        <v>-3.2768479594767586E-2</v>
      </c>
    </row>
    <row r="25" spans="1:7" x14ac:dyDescent="0.35">
      <c r="A25" s="3">
        <v>44072</v>
      </c>
      <c r="B25" s="4">
        <v>17.04</v>
      </c>
      <c r="C25" s="4">
        <v>14.97</v>
      </c>
      <c r="D25" s="4">
        <v>15.12</v>
      </c>
      <c r="E25" s="4">
        <v>16.38</v>
      </c>
      <c r="F25" s="5">
        <v>-8.3333333333333259E-2</v>
      </c>
      <c r="G25" s="5">
        <v>-8.6211255498811479E-3</v>
      </c>
    </row>
    <row r="26" spans="1:7" x14ac:dyDescent="0.35">
      <c r="A26" s="3">
        <v>44073</v>
      </c>
      <c r="B26" s="4">
        <v>17.739999999999998</v>
      </c>
      <c r="C26" s="4">
        <v>16.329999999999998</v>
      </c>
      <c r="D26" s="4">
        <v>16.38</v>
      </c>
      <c r="E26" s="4">
        <v>16.47</v>
      </c>
      <c r="F26" s="5">
        <v>-5.494505494505475E-3</v>
      </c>
      <c r="G26" s="5">
        <v>-7.5773906504574606E-2</v>
      </c>
    </row>
    <row r="27" spans="1:7" x14ac:dyDescent="0.35">
      <c r="A27" s="3">
        <v>44074</v>
      </c>
      <c r="B27" s="4">
        <v>16.96</v>
      </c>
      <c r="C27" s="4">
        <v>15.5</v>
      </c>
      <c r="D27" s="4">
        <v>16.47</v>
      </c>
      <c r="E27" s="4">
        <v>15.6</v>
      </c>
      <c r="F27" s="5">
        <v>5.2823315118396996E-2</v>
      </c>
      <c r="G27" s="5">
        <v>-1.1556922503378475E-2</v>
      </c>
    </row>
    <row r="28" spans="1:7" x14ac:dyDescent="0.35">
      <c r="A28" s="3">
        <v>44075</v>
      </c>
      <c r="B28" s="4">
        <v>16.510000000000002</v>
      </c>
      <c r="C28" s="4">
        <v>15.13</v>
      </c>
      <c r="D28" s="4">
        <v>15.6</v>
      </c>
      <c r="E28" s="4">
        <v>16.079999999999998</v>
      </c>
      <c r="F28" s="5">
        <v>-3.076923076923066E-2</v>
      </c>
      <c r="G28" s="5">
        <v>-9.6397475468742888E-2</v>
      </c>
    </row>
    <row r="29" spans="1:7" x14ac:dyDescent="0.35">
      <c r="A29" s="3">
        <v>44076</v>
      </c>
      <c r="B29" s="4">
        <v>16.350000000000001</v>
      </c>
      <c r="C29" s="4">
        <v>14.09</v>
      </c>
      <c r="D29" s="4">
        <v>16.079999999999998</v>
      </c>
      <c r="E29" s="4">
        <v>14.78</v>
      </c>
      <c r="F29" s="5">
        <v>8.08457711442786E-2</v>
      </c>
      <c r="G29" s="5">
        <v>7.5967982520641186E-2</v>
      </c>
    </row>
    <row r="30" spans="1:7" x14ac:dyDescent="0.35">
      <c r="A30" s="3">
        <v>44077</v>
      </c>
      <c r="B30" s="4">
        <v>15</v>
      </c>
      <c r="C30" s="4">
        <v>11.07</v>
      </c>
      <c r="D30" s="4">
        <v>14.78</v>
      </c>
      <c r="E30" s="4">
        <v>12.05</v>
      </c>
      <c r="F30" s="5">
        <v>0.18470906630581863</v>
      </c>
      <c r="G30" s="5">
        <v>0.1304367596571403</v>
      </c>
    </row>
    <row r="31" spans="1:7" x14ac:dyDescent="0.35">
      <c r="A31" s="3">
        <v>44078</v>
      </c>
      <c r="B31" s="4">
        <v>12.96</v>
      </c>
      <c r="C31" s="4">
        <v>11.05</v>
      </c>
      <c r="D31" s="4">
        <v>12.05</v>
      </c>
      <c r="E31" s="4">
        <v>12.39</v>
      </c>
      <c r="F31" s="5">
        <v>-2.8215767634854672E-2</v>
      </c>
      <c r="G31" s="5">
        <v>-9.0205511687497797E-3</v>
      </c>
    </row>
    <row r="32" spans="1:7" x14ac:dyDescent="0.35">
      <c r="A32" s="3">
        <v>44079</v>
      </c>
      <c r="B32" s="4">
        <v>12.74</v>
      </c>
      <c r="C32" s="4">
        <v>9.2759999999999998</v>
      </c>
      <c r="D32" s="4">
        <v>12.39</v>
      </c>
      <c r="E32" s="4">
        <v>10.61</v>
      </c>
      <c r="F32" s="5">
        <v>0.14366424535916067</v>
      </c>
      <c r="G32" s="5">
        <v>0.13130004405172191</v>
      </c>
    </row>
    <row r="33" spans="1:7" x14ac:dyDescent="0.35">
      <c r="A33" s="3">
        <v>44080</v>
      </c>
      <c r="B33" s="4">
        <v>13.36</v>
      </c>
      <c r="C33" s="4">
        <v>9.7579999999999991</v>
      </c>
      <c r="D33" s="4">
        <v>10.61</v>
      </c>
      <c r="E33" s="4">
        <v>12.79</v>
      </c>
      <c r="F33" s="5">
        <v>-0.20546654099905748</v>
      </c>
      <c r="G33" s="5">
        <v>-5.2052261066698469E-2</v>
      </c>
    </row>
    <row r="34" spans="1:7" x14ac:dyDescent="0.35">
      <c r="A34" s="3">
        <v>44081</v>
      </c>
      <c r="B34" s="4">
        <v>13.16</v>
      </c>
      <c r="C34" s="4">
        <v>11.2</v>
      </c>
      <c r="D34" s="4">
        <v>12.79</v>
      </c>
      <c r="E34" s="4">
        <v>12.47</v>
      </c>
      <c r="F34" s="5">
        <v>2.5019546520719249E-2</v>
      </c>
      <c r="G34" s="5">
        <v>-2.8637046698234414E-3</v>
      </c>
    </row>
    <row r="35" spans="1:7" x14ac:dyDescent="0.35">
      <c r="A35" s="3">
        <v>44082</v>
      </c>
      <c r="B35" s="4">
        <v>12.77</v>
      </c>
      <c r="C35" s="4">
        <v>11.07</v>
      </c>
      <c r="D35" s="4">
        <v>12.47</v>
      </c>
      <c r="E35" s="4">
        <v>11.74</v>
      </c>
      <c r="F35" s="5">
        <v>5.8540497193263819E-2</v>
      </c>
      <c r="G35" s="5">
        <v>4.5942889454339886E-2</v>
      </c>
    </row>
    <row r="36" spans="1:7" x14ac:dyDescent="0.35">
      <c r="A36" s="3">
        <v>44083</v>
      </c>
      <c r="B36" s="4">
        <v>12.66</v>
      </c>
      <c r="C36" s="4">
        <v>11.44</v>
      </c>
      <c r="D36" s="4">
        <v>11.74</v>
      </c>
      <c r="E36" s="4">
        <v>12.35</v>
      </c>
      <c r="F36" s="5">
        <v>-5.1959114139693341E-2</v>
      </c>
      <c r="G36" s="5">
        <v>-4.0598607201066894E-2</v>
      </c>
    </row>
    <row r="37" spans="1:7" x14ac:dyDescent="0.35">
      <c r="A37" s="3">
        <v>44084</v>
      </c>
      <c r="B37" s="4">
        <v>13.28</v>
      </c>
      <c r="C37" s="4">
        <v>12.17</v>
      </c>
      <c r="D37" s="4">
        <v>12.35</v>
      </c>
      <c r="E37" s="4">
        <v>12.52</v>
      </c>
      <c r="F37" s="5">
        <v>-1.3765182186234792E-2</v>
      </c>
      <c r="G37" s="5">
        <v>-4.8241492239783579E-2</v>
      </c>
    </row>
    <row r="38" spans="1:7" x14ac:dyDescent="0.35">
      <c r="A38" s="3">
        <v>44085</v>
      </c>
      <c r="B38" s="4">
        <v>12.69</v>
      </c>
      <c r="C38" s="4">
        <v>12.03</v>
      </c>
      <c r="D38" s="4">
        <v>12.52</v>
      </c>
      <c r="E38" s="4">
        <v>12.45</v>
      </c>
      <c r="F38" s="5">
        <v>5.5910543130990309E-3</v>
      </c>
      <c r="G38" s="5">
        <v>-1.6028688635931543E-2</v>
      </c>
    </row>
    <row r="39" spans="1:7" x14ac:dyDescent="0.35">
      <c r="A39" s="3">
        <v>44086</v>
      </c>
      <c r="B39" s="4">
        <v>12.74</v>
      </c>
      <c r="C39" s="4">
        <v>12.1</v>
      </c>
      <c r="D39" s="4">
        <v>12.45</v>
      </c>
      <c r="E39" s="4">
        <v>12.72</v>
      </c>
      <c r="F39" s="5">
        <v>-2.168674698795181E-2</v>
      </c>
      <c r="G39" s="5">
        <v>-3.7567849407738274E-2</v>
      </c>
    </row>
    <row r="40" spans="1:7" x14ac:dyDescent="0.35">
      <c r="A40" s="3">
        <v>44087</v>
      </c>
      <c r="B40" s="4">
        <v>13.24</v>
      </c>
      <c r="C40" s="4">
        <v>11.77</v>
      </c>
      <c r="D40" s="4">
        <v>12.72</v>
      </c>
      <c r="E40" s="4">
        <v>12.07</v>
      </c>
      <c r="F40" s="5">
        <v>5.1100628930817682E-2</v>
      </c>
      <c r="G40" s="5">
        <v>5.6076693124420318E-2</v>
      </c>
    </row>
    <row r="41" spans="1:7" x14ac:dyDescent="0.35">
      <c r="A41" s="3">
        <v>44088</v>
      </c>
      <c r="B41" s="4">
        <v>12.38</v>
      </c>
      <c r="C41" s="4">
        <v>11.64</v>
      </c>
      <c r="D41" s="4">
        <v>12.07</v>
      </c>
      <c r="E41" s="4">
        <v>12.13</v>
      </c>
      <c r="F41" s="5">
        <v>-4.9710024855011969E-3</v>
      </c>
      <c r="G41" s="5">
        <v>-2.9977066724909962E-2</v>
      </c>
    </row>
    <row r="42" spans="1:7" x14ac:dyDescent="0.35">
      <c r="A42" s="3">
        <v>44089</v>
      </c>
      <c r="B42" s="4">
        <v>12.24</v>
      </c>
      <c r="C42" s="4">
        <v>10.74</v>
      </c>
      <c r="D42" s="4">
        <v>12.13</v>
      </c>
      <c r="E42" s="4">
        <v>10.95</v>
      </c>
      <c r="F42" s="5">
        <v>9.7279472382522769E-2</v>
      </c>
      <c r="G42" s="5">
        <v>3.4724062980437842E-2</v>
      </c>
    </row>
    <row r="43" spans="1:7" x14ac:dyDescent="0.35">
      <c r="A43" s="3">
        <v>44090</v>
      </c>
      <c r="B43" s="4">
        <v>11.3</v>
      </c>
      <c r="C43" s="4">
        <v>10.48</v>
      </c>
      <c r="D43" s="4">
        <v>10.95</v>
      </c>
      <c r="E43" s="4">
        <v>10.74</v>
      </c>
      <c r="F43" s="5">
        <v>1.9178082191780743E-2</v>
      </c>
      <c r="G43" s="5">
        <v>-2.5538224956060951E-3</v>
      </c>
    </row>
    <row r="44" spans="1:7" x14ac:dyDescent="0.35">
      <c r="A44" s="3">
        <v>44091</v>
      </c>
      <c r="B44" s="4">
        <v>11.69</v>
      </c>
      <c r="C44" s="4">
        <v>10.51</v>
      </c>
      <c r="D44" s="4">
        <v>10.74</v>
      </c>
      <c r="E44" s="4">
        <v>11.02</v>
      </c>
      <c r="F44" s="5">
        <v>-2.607076350093096E-2</v>
      </c>
      <c r="G44" s="5">
        <v>-6.6969788271385333E-2</v>
      </c>
    </row>
    <row r="45" spans="1:7" x14ac:dyDescent="0.35">
      <c r="A45" s="3">
        <v>44092</v>
      </c>
      <c r="B45" s="4">
        <v>11.14</v>
      </c>
      <c r="C45" s="4">
        <v>9.7739999999999991</v>
      </c>
      <c r="D45" s="4">
        <v>11.02</v>
      </c>
      <c r="E45" s="4">
        <v>10.09</v>
      </c>
      <c r="F45" s="5">
        <v>8.4392014519056202E-2</v>
      </c>
      <c r="G45" s="5">
        <v>1.3015351440160194E-2</v>
      </c>
    </row>
    <row r="46" spans="1:7" x14ac:dyDescent="0.35">
      <c r="A46" s="3">
        <v>44093</v>
      </c>
      <c r="B46" s="4">
        <v>10.49</v>
      </c>
      <c r="C46" s="4">
        <v>9.85</v>
      </c>
      <c r="D46" s="4">
        <v>10.09</v>
      </c>
      <c r="E46" s="4">
        <v>10.119999999999999</v>
      </c>
      <c r="F46" s="5">
        <v>-2.9732408325073845E-3</v>
      </c>
      <c r="G46" s="5">
        <v>-2.0807865373109191E-3</v>
      </c>
    </row>
    <row r="47" spans="1:7" x14ac:dyDescent="0.35">
      <c r="A47" s="3">
        <v>44094</v>
      </c>
      <c r="B47" s="4">
        <v>10.63</v>
      </c>
      <c r="C47" s="4">
        <v>9.5050000000000008</v>
      </c>
      <c r="D47" s="4">
        <v>10.119999999999999</v>
      </c>
      <c r="E47" s="4">
        <v>9.7360000000000007</v>
      </c>
      <c r="F47" s="5">
        <v>3.7944664031620445E-2</v>
      </c>
      <c r="G47" s="5">
        <v>3.6987048044228699E-2</v>
      </c>
    </row>
    <row r="48" spans="1:7" x14ac:dyDescent="0.35">
      <c r="A48" s="3">
        <v>44095</v>
      </c>
      <c r="B48" s="4">
        <v>9.9130000000000003</v>
      </c>
      <c r="C48" s="4">
        <v>8.5459999999999994</v>
      </c>
      <c r="D48" s="4">
        <v>9.7360000000000007</v>
      </c>
      <c r="E48" s="4">
        <v>8.7080000000000002</v>
      </c>
      <c r="F48" s="5">
        <v>0.10558751027115865</v>
      </c>
      <c r="G48" s="5">
        <v>8.3095250929869025E-2</v>
      </c>
    </row>
    <row r="49" spans="1:7" x14ac:dyDescent="0.35">
      <c r="A49" s="3">
        <v>44096</v>
      </c>
      <c r="B49" s="4">
        <v>9.0790000000000006</v>
      </c>
      <c r="C49" s="4">
        <v>8.5570000000000004</v>
      </c>
      <c r="D49" s="4">
        <v>8.7080000000000002</v>
      </c>
      <c r="E49" s="4">
        <v>8.7479999999999993</v>
      </c>
      <c r="F49" s="5">
        <v>-4.5934772622875375E-3</v>
      </c>
      <c r="G49" s="5">
        <v>-1.1934507187160159E-2</v>
      </c>
    </row>
    <row r="50" spans="1:7" x14ac:dyDescent="0.35">
      <c r="A50" s="3">
        <v>44097</v>
      </c>
      <c r="B50" s="4">
        <v>8.7989999999999995</v>
      </c>
      <c r="C50" s="4">
        <v>7.3170000000000002</v>
      </c>
      <c r="D50" s="4">
        <v>8.7479999999999993</v>
      </c>
      <c r="E50" s="4">
        <v>7.64</v>
      </c>
      <c r="F50" s="5">
        <v>0.12665752171925004</v>
      </c>
      <c r="G50" s="5">
        <v>6.989106753812635E-2</v>
      </c>
    </row>
    <row r="51" spans="1:7" x14ac:dyDescent="0.35">
      <c r="A51" s="3">
        <v>44098</v>
      </c>
      <c r="B51" s="4">
        <v>10.44</v>
      </c>
      <c r="C51" s="4">
        <v>7.4820000000000002</v>
      </c>
      <c r="D51" s="4">
        <v>7.64</v>
      </c>
      <c r="E51" s="4">
        <v>9.8719999999999999</v>
      </c>
      <c r="F51" s="5">
        <v>-0.29214659685863875</v>
      </c>
      <c r="G51" s="5">
        <v>-9.0539991879821313E-2</v>
      </c>
    </row>
    <row r="52" spans="1:7" x14ac:dyDescent="0.35">
      <c r="A52" s="3">
        <v>44099</v>
      </c>
      <c r="B52" s="4">
        <v>11.22</v>
      </c>
      <c r="C52" s="4">
        <v>9.3699999999999992</v>
      </c>
      <c r="D52" s="4">
        <v>9.8719999999999999</v>
      </c>
      <c r="E52" s="4">
        <v>10.73</v>
      </c>
      <c r="F52" s="5">
        <v>-8.6912479740680837E-2</v>
      </c>
      <c r="G52" s="5">
        <v>-8.133340970273073E-3</v>
      </c>
    </row>
    <row r="53" spans="1:7" x14ac:dyDescent="0.35">
      <c r="A53" s="3">
        <v>44100</v>
      </c>
      <c r="B53" s="4">
        <v>11.09</v>
      </c>
      <c r="C53" s="4">
        <v>9.9779999999999998</v>
      </c>
      <c r="D53" s="4">
        <v>10.73</v>
      </c>
      <c r="E53" s="4">
        <v>10.33</v>
      </c>
      <c r="F53" s="5">
        <v>3.72786579683132E-2</v>
      </c>
      <c r="G53" s="5">
        <v>-6.2780523833874113E-3</v>
      </c>
    </row>
    <row r="54" spans="1:7" x14ac:dyDescent="0.35">
      <c r="A54" s="3">
        <v>44101</v>
      </c>
      <c r="B54" s="4">
        <v>10.99</v>
      </c>
      <c r="C54" s="4">
        <v>9.9209999999999994</v>
      </c>
      <c r="D54" s="4">
        <v>10.33</v>
      </c>
      <c r="E54" s="4">
        <v>10.79</v>
      </c>
      <c r="F54" s="5">
        <v>-4.4530493707647612E-2</v>
      </c>
      <c r="G54" s="5">
        <v>-9.8805860599044948E-3</v>
      </c>
    </row>
    <row r="55" spans="1:7" x14ac:dyDescent="0.35">
      <c r="A55" s="3">
        <v>44102</v>
      </c>
      <c r="B55" s="4">
        <v>11.07</v>
      </c>
      <c r="C55" s="4">
        <v>10.15</v>
      </c>
      <c r="D55" s="4">
        <v>10.79</v>
      </c>
      <c r="E55" s="4">
        <v>10.27</v>
      </c>
      <c r="F55" s="5">
        <v>4.8192771084337283E-2</v>
      </c>
      <c r="G55" s="5">
        <v>1.0398904201492809E-2</v>
      </c>
    </row>
    <row r="56" spans="1:7" x14ac:dyDescent="0.35">
      <c r="A56" s="3">
        <v>44103</v>
      </c>
      <c r="B56" s="4">
        <v>10.38</v>
      </c>
      <c r="C56" s="4">
        <v>9.4239999999999995</v>
      </c>
      <c r="D56" s="4">
        <v>10.27</v>
      </c>
      <c r="E56" s="4">
        <v>10.14</v>
      </c>
      <c r="F56" s="5">
        <v>1.2658227848101222E-2</v>
      </c>
      <c r="G56" s="5">
        <v>-1.6694443659783786E-2</v>
      </c>
    </row>
    <row r="57" spans="1:7" x14ac:dyDescent="0.35">
      <c r="A57" s="3">
        <v>44104</v>
      </c>
      <c r="B57" s="4">
        <v>10.220000000000001</v>
      </c>
      <c r="C57" s="4">
        <v>9.5820000000000007</v>
      </c>
      <c r="D57" s="4">
        <v>10.14</v>
      </c>
      <c r="E57" s="4">
        <v>9.8670000000000009</v>
      </c>
      <c r="F57" s="5">
        <v>2.6923076923076938E-2</v>
      </c>
      <c r="G57" s="5">
        <v>2.7783951989335254E-4</v>
      </c>
    </row>
    <row r="58" spans="1:7" x14ac:dyDescent="0.35">
      <c r="A58" s="3">
        <v>44105</v>
      </c>
      <c r="B58" s="4">
        <v>10.42</v>
      </c>
      <c r="C58" s="4">
        <v>9.3209999999999997</v>
      </c>
      <c r="D58" s="4">
        <v>9.8670000000000009</v>
      </c>
      <c r="E58" s="4">
        <v>9.6530000000000005</v>
      </c>
      <c r="F58" s="5">
        <v>2.1688456471065209E-2</v>
      </c>
      <c r="G58" s="5">
        <v>1.8370296259240804E-2</v>
      </c>
    </row>
    <row r="59" spans="1:7" x14ac:dyDescent="0.35">
      <c r="A59" s="3">
        <v>44106</v>
      </c>
      <c r="B59" s="4">
        <v>9.8350000000000009</v>
      </c>
      <c r="C59" s="4">
        <v>8.8119999999999994</v>
      </c>
      <c r="D59" s="4">
        <v>9.6530000000000005</v>
      </c>
      <c r="E59" s="4">
        <v>9.218</v>
      </c>
      <c r="F59" s="5">
        <v>4.5063710763493248E-2</v>
      </c>
      <c r="G59" s="5">
        <v>2.0894085671413598E-2</v>
      </c>
    </row>
    <row r="60" spans="1:7" x14ac:dyDescent="0.35">
      <c r="A60" s="3">
        <v>44107</v>
      </c>
      <c r="B60" s="4">
        <v>9.5500000000000007</v>
      </c>
      <c r="C60" s="4">
        <v>9.1170000000000009</v>
      </c>
      <c r="D60" s="4">
        <v>9.218</v>
      </c>
      <c r="E60" s="4">
        <v>9.2710000000000008</v>
      </c>
      <c r="F60" s="5">
        <v>-5.7496203080928954E-3</v>
      </c>
      <c r="G60" s="5">
        <v>-1.4168811265651282E-3</v>
      </c>
    </row>
    <row r="61" spans="1:7" x14ac:dyDescent="0.35">
      <c r="A61" s="3">
        <v>44108</v>
      </c>
      <c r="B61" s="4">
        <v>9.4570000000000007</v>
      </c>
      <c r="C61" s="4">
        <v>9.1289999999999996</v>
      </c>
      <c r="D61" s="4">
        <v>9.2710000000000008</v>
      </c>
      <c r="E61" s="4">
        <v>9.3960000000000008</v>
      </c>
      <c r="F61" s="5">
        <v>-1.3482903678136093E-2</v>
      </c>
      <c r="G61" s="5">
        <v>-1.816239316239332E-2</v>
      </c>
    </row>
    <row r="62" spans="1:7" x14ac:dyDescent="0.35">
      <c r="A62" s="3">
        <v>44109</v>
      </c>
      <c r="B62" s="4">
        <v>9.7240000000000002</v>
      </c>
      <c r="C62" s="4">
        <v>9.2769999999999992</v>
      </c>
      <c r="D62" s="4">
        <v>9.3960000000000008</v>
      </c>
      <c r="E62" s="4">
        <v>9.6069999999999993</v>
      </c>
      <c r="F62" s="5">
        <v>-2.2456364410387231E-2</v>
      </c>
      <c r="G62" s="5">
        <v>-3.2613936076684169E-3</v>
      </c>
    </row>
    <row r="63" spans="1:7" x14ac:dyDescent="0.35">
      <c r="A63" s="3">
        <v>44110</v>
      </c>
      <c r="B63" s="4">
        <v>9.6590000000000007</v>
      </c>
      <c r="C63" s="4">
        <v>8.5690000000000008</v>
      </c>
      <c r="D63" s="4">
        <v>9.6069999999999993</v>
      </c>
      <c r="E63" s="4">
        <v>8.7720000000000002</v>
      </c>
      <c r="F63" s="5">
        <v>8.6915790569376372E-2</v>
      </c>
      <c r="G63" s="5">
        <v>3.6493668023518722E-2</v>
      </c>
    </row>
    <row r="64" spans="1:7" x14ac:dyDescent="0.35">
      <c r="A64" s="3">
        <v>44111</v>
      </c>
      <c r="B64" s="4">
        <v>9.0280000000000005</v>
      </c>
      <c r="C64" s="4">
        <v>8.3870000000000005</v>
      </c>
      <c r="D64" s="4">
        <v>8.7720000000000002</v>
      </c>
      <c r="E64" s="4">
        <v>8.9760000000000009</v>
      </c>
      <c r="F64" s="5">
        <v>-2.3255813953488413E-2</v>
      </c>
      <c r="G64" s="5">
        <v>-3.1098723778788528E-3</v>
      </c>
    </row>
    <row r="65" spans="1:7" x14ac:dyDescent="0.35">
      <c r="A65" s="3">
        <v>44112</v>
      </c>
      <c r="B65" s="4">
        <v>9.6829999999999998</v>
      </c>
      <c r="C65" s="4">
        <v>8.44</v>
      </c>
      <c r="D65" s="4">
        <v>8.9760000000000009</v>
      </c>
      <c r="E65" s="4">
        <v>9.5589999999999993</v>
      </c>
      <c r="F65" s="5">
        <v>-6.4950980392156632E-2</v>
      </c>
      <c r="G65" s="5">
        <v>-2.7170892925038714E-2</v>
      </c>
    </row>
    <row r="66" spans="1:7" x14ac:dyDescent="0.35">
      <c r="A66" s="3">
        <v>44113</v>
      </c>
      <c r="B66" s="4">
        <v>10.52</v>
      </c>
      <c r="C66" s="4">
        <v>9.3770000000000007</v>
      </c>
      <c r="D66" s="4">
        <v>9.5589999999999993</v>
      </c>
      <c r="E66" s="4">
        <v>10.41</v>
      </c>
      <c r="F66" s="5">
        <v>-8.9026048749869302E-2</v>
      </c>
      <c r="G66" s="5">
        <v>-4.0461275626423765E-2</v>
      </c>
    </row>
    <row r="67" spans="1:7" x14ac:dyDescent="0.35">
      <c r="A67" s="3">
        <v>44114</v>
      </c>
      <c r="B67" s="4">
        <v>10.93</v>
      </c>
      <c r="C67" s="4">
        <v>10.35</v>
      </c>
      <c r="D67" s="4">
        <v>10.41</v>
      </c>
      <c r="E67" s="4">
        <v>10.52</v>
      </c>
      <c r="F67" s="5">
        <v>-1.0566762728146051E-2</v>
      </c>
      <c r="G67" s="5">
        <v>-1.4969486330423276E-2</v>
      </c>
    </row>
    <row r="68" spans="1:7" x14ac:dyDescent="0.35">
      <c r="A68" s="3">
        <v>44115</v>
      </c>
      <c r="B68" s="4">
        <v>11.05</v>
      </c>
      <c r="C68" s="4">
        <v>10.11</v>
      </c>
      <c r="D68" s="4">
        <v>10.52</v>
      </c>
      <c r="E68" s="4">
        <v>10.86</v>
      </c>
      <c r="F68" s="5">
        <v>-3.2319391634980876E-2</v>
      </c>
      <c r="G68" s="5">
        <v>-9.4100517687663032E-3</v>
      </c>
    </row>
    <row r="69" spans="1:7" x14ac:dyDescent="0.35">
      <c r="A69" s="3">
        <v>44116</v>
      </c>
      <c r="B69" s="4">
        <v>11.82</v>
      </c>
      <c r="C69" s="4">
        <v>10.69</v>
      </c>
      <c r="D69" s="4">
        <v>10.86</v>
      </c>
      <c r="E69" s="4">
        <v>11.43</v>
      </c>
      <c r="F69" s="5">
        <v>-5.2486187845303789E-2</v>
      </c>
      <c r="G69" s="5">
        <v>-3.3496273739882954E-2</v>
      </c>
    </row>
    <row r="70" spans="1:7" x14ac:dyDescent="0.35">
      <c r="A70" s="3">
        <v>44117</v>
      </c>
      <c r="B70" s="4">
        <v>11.59</v>
      </c>
      <c r="C70" s="4">
        <v>10.58</v>
      </c>
      <c r="D70" s="4">
        <v>11.43</v>
      </c>
      <c r="E70" s="4">
        <v>11.01</v>
      </c>
      <c r="F70" s="5">
        <v>3.6745406824146953E-2</v>
      </c>
      <c r="G70" s="5">
        <v>1.421519216355227E-2</v>
      </c>
    </row>
    <row r="71" spans="1:7" x14ac:dyDescent="0.35">
      <c r="A71" s="3">
        <v>44118</v>
      </c>
      <c r="B71" s="4">
        <v>11.35</v>
      </c>
      <c r="C71" s="4">
        <v>10.63</v>
      </c>
      <c r="D71" s="4">
        <v>11.01</v>
      </c>
      <c r="E71" s="4">
        <v>10.9</v>
      </c>
      <c r="F71" s="5">
        <v>9.9909173478655022E-3</v>
      </c>
      <c r="G71" s="5">
        <v>6.0302561547941336E-3</v>
      </c>
    </row>
    <row r="72" spans="1:7" x14ac:dyDescent="0.35">
      <c r="A72" s="3">
        <v>44119</v>
      </c>
      <c r="B72" s="4">
        <v>10.92</v>
      </c>
      <c r="C72" s="4">
        <v>10.48</v>
      </c>
      <c r="D72" s="4">
        <v>10.9</v>
      </c>
      <c r="E72" s="4">
        <v>10.75</v>
      </c>
      <c r="F72" s="5">
        <v>1.3761467889908285E-2</v>
      </c>
      <c r="G72" s="5">
        <v>3.7192371607185359E-3</v>
      </c>
    </row>
    <row r="73" spans="1:7" x14ac:dyDescent="0.35">
      <c r="A73" s="3">
        <v>44120</v>
      </c>
      <c r="B73" s="4">
        <v>10.9</v>
      </c>
      <c r="C73" s="4">
        <v>10.29</v>
      </c>
      <c r="D73" s="4">
        <v>10.75</v>
      </c>
      <c r="E73" s="4">
        <v>10.59</v>
      </c>
      <c r="F73" s="5">
        <v>1.4883720930232602E-2</v>
      </c>
      <c r="G73" s="5">
        <v>3.2088959491660018E-2</v>
      </c>
    </row>
    <row r="74" spans="1:7" x14ac:dyDescent="0.35">
      <c r="A74" s="3">
        <v>44121</v>
      </c>
      <c r="B74" s="4">
        <v>10.72</v>
      </c>
      <c r="C74" s="4">
        <v>10.43</v>
      </c>
      <c r="D74" s="4">
        <v>10.59</v>
      </c>
      <c r="E74" s="4">
        <v>10.63</v>
      </c>
      <c r="F74" s="5">
        <v>-3.7771482530690736E-3</v>
      </c>
      <c r="G74" s="5">
        <v>-8.3976147491657827E-3</v>
      </c>
    </row>
    <row r="75" spans="1:7" x14ac:dyDescent="0.35">
      <c r="A75" s="3">
        <v>44122</v>
      </c>
      <c r="B75" s="4">
        <v>10.99</v>
      </c>
      <c r="C75" s="4">
        <v>10.61</v>
      </c>
      <c r="D75" s="4">
        <v>10.63</v>
      </c>
      <c r="E75" s="4">
        <v>10.95</v>
      </c>
      <c r="F75" s="5">
        <v>-3.0103480714957609E-2</v>
      </c>
      <c r="G75" s="5">
        <v>-2.6556354265563575E-2</v>
      </c>
    </row>
    <row r="76" spans="1:7" x14ac:dyDescent="0.35">
      <c r="A76" s="3">
        <v>44123</v>
      </c>
      <c r="B76" s="4">
        <v>11.23</v>
      </c>
      <c r="C76" s="4">
        <v>10.66</v>
      </c>
      <c r="D76" s="4">
        <v>10.95</v>
      </c>
      <c r="E76" s="4">
        <v>10.92</v>
      </c>
      <c r="F76" s="5">
        <v>2.739726027397249E-3</v>
      </c>
      <c r="G76" s="5">
        <v>-2.5631540006343378E-3</v>
      </c>
    </row>
    <row r="77" spans="1:7" x14ac:dyDescent="0.35">
      <c r="A77" s="3">
        <v>44124</v>
      </c>
      <c r="B77" s="4">
        <v>10.94</v>
      </c>
      <c r="C77" s="4">
        <v>9.7889999999999997</v>
      </c>
      <c r="D77" s="4">
        <v>10.92</v>
      </c>
      <c r="E77" s="4">
        <v>9.8699999999999992</v>
      </c>
      <c r="F77" s="5">
        <v>9.6153846153846256E-2</v>
      </c>
      <c r="G77" s="5">
        <v>2.8122611422998878E-2</v>
      </c>
    </row>
    <row r="78" spans="1:7" x14ac:dyDescent="0.35">
      <c r="A78" s="3">
        <v>44125</v>
      </c>
      <c r="B78" s="4">
        <v>11.18</v>
      </c>
      <c r="C78" s="4">
        <v>9.81</v>
      </c>
      <c r="D78" s="4">
        <v>9.8699999999999992</v>
      </c>
      <c r="E78" s="4">
        <v>10.82</v>
      </c>
      <c r="F78" s="5">
        <v>-9.6251266464032481E-2</v>
      </c>
      <c r="G78" s="5">
        <v>-6.1615230243531993E-2</v>
      </c>
    </row>
    <row r="79" spans="1:7" x14ac:dyDescent="0.35">
      <c r="A79" s="3">
        <v>44126</v>
      </c>
      <c r="B79" s="4">
        <v>12.44</v>
      </c>
      <c r="C79" s="4">
        <v>10.73</v>
      </c>
      <c r="D79" s="4">
        <v>10.82</v>
      </c>
      <c r="E79" s="4">
        <v>11.98</v>
      </c>
      <c r="F79" s="5">
        <v>-0.10720887245841038</v>
      </c>
      <c r="G79" s="5">
        <v>-5.8856588157155221E-2</v>
      </c>
    </row>
    <row r="80" spans="1:7" x14ac:dyDescent="0.35">
      <c r="A80" s="3">
        <v>44127</v>
      </c>
      <c r="B80" s="4">
        <v>12.27</v>
      </c>
      <c r="C80" s="4">
        <v>11.59</v>
      </c>
      <c r="D80" s="4">
        <v>11.98</v>
      </c>
      <c r="E80" s="4">
        <v>12.17</v>
      </c>
      <c r="F80" s="5">
        <v>-1.5859766277128484E-2</v>
      </c>
      <c r="G80" s="5">
        <v>1.189384800965021E-2</v>
      </c>
    </row>
    <row r="81" spans="1:7" x14ac:dyDescent="0.35">
      <c r="A81" s="3">
        <v>44128</v>
      </c>
      <c r="B81" s="4">
        <v>12.96</v>
      </c>
      <c r="C81" s="4">
        <v>12.01</v>
      </c>
      <c r="D81" s="4">
        <v>12.17</v>
      </c>
      <c r="E81" s="4">
        <v>12.72</v>
      </c>
      <c r="F81" s="5">
        <v>-4.5193097781429881E-2</v>
      </c>
      <c r="G81" s="5">
        <v>-7.275923529555417E-3</v>
      </c>
    </row>
    <row r="82" spans="1:7" x14ac:dyDescent="0.35">
      <c r="A82" s="3">
        <v>44129</v>
      </c>
      <c r="B82" s="4">
        <v>12.87</v>
      </c>
      <c r="C82" s="4">
        <v>11.91</v>
      </c>
      <c r="D82" s="4">
        <v>12.72</v>
      </c>
      <c r="E82" s="4">
        <v>12.16</v>
      </c>
      <c r="F82" s="5">
        <v>4.4025157232704393E-2</v>
      </c>
      <c r="G82" s="5">
        <v>1.5004241910071547E-2</v>
      </c>
    </row>
    <row r="83" spans="1:7" x14ac:dyDescent="0.35">
      <c r="A83" s="3">
        <v>44130</v>
      </c>
      <c r="B83" s="4">
        <v>12.46</v>
      </c>
      <c r="C83" s="4">
        <v>11.28</v>
      </c>
      <c r="D83" s="4">
        <v>12.16</v>
      </c>
      <c r="E83" s="4">
        <v>11.74</v>
      </c>
      <c r="F83" s="5">
        <v>3.4539473684210509E-2</v>
      </c>
      <c r="G83" s="5">
        <v>3.2606555763362577E-2</v>
      </c>
    </row>
    <row r="84" spans="1:7" x14ac:dyDescent="0.35">
      <c r="A84" s="3">
        <v>44131</v>
      </c>
      <c r="B84" s="4">
        <v>12.48</v>
      </c>
      <c r="C84" s="4">
        <v>11.51</v>
      </c>
      <c r="D84" s="4">
        <v>11.74</v>
      </c>
      <c r="E84" s="4">
        <v>11.94</v>
      </c>
      <c r="F84" s="5">
        <v>-1.7035775127768327E-2</v>
      </c>
      <c r="G84" s="5">
        <v>-2.7040777390552329E-2</v>
      </c>
    </row>
    <row r="85" spans="1:7" x14ac:dyDescent="0.35">
      <c r="A85" s="3">
        <v>44132</v>
      </c>
      <c r="B85" s="4">
        <v>12.19</v>
      </c>
      <c r="C85" s="4">
        <v>11.16</v>
      </c>
      <c r="D85" s="4">
        <v>11.94</v>
      </c>
      <c r="E85" s="4">
        <v>11.46</v>
      </c>
      <c r="F85" s="5">
        <v>4.0201005025125469E-2</v>
      </c>
      <c r="G85" s="5">
        <v>3.7078317729231758E-2</v>
      </c>
    </row>
    <row r="86" spans="1:7" x14ac:dyDescent="0.35">
      <c r="A86" s="3">
        <v>44133</v>
      </c>
      <c r="B86" s="4">
        <v>11.8</v>
      </c>
      <c r="C86" s="4">
        <v>11.11</v>
      </c>
      <c r="D86" s="4">
        <v>11.46</v>
      </c>
      <c r="E86" s="4">
        <v>11.29</v>
      </c>
      <c r="F86" s="5">
        <v>1.4834205933682565E-2</v>
      </c>
      <c r="G86" s="5">
        <v>3.163824369164181E-3</v>
      </c>
    </row>
    <row r="87" spans="1:7" x14ac:dyDescent="0.35">
      <c r="A87" s="3">
        <v>44134</v>
      </c>
      <c r="B87" s="4">
        <v>11.48</v>
      </c>
      <c r="C87" s="4">
        <v>10.77</v>
      </c>
      <c r="D87" s="4">
        <v>11.29</v>
      </c>
      <c r="E87" s="4">
        <v>11.09</v>
      </c>
      <c r="F87" s="5">
        <v>1.7714791851195733E-2</v>
      </c>
      <c r="G87" s="5">
        <v>1.2334210662125256E-2</v>
      </c>
    </row>
    <row r="88" spans="1:7" x14ac:dyDescent="0.35">
      <c r="A88" s="3">
        <v>44135</v>
      </c>
      <c r="B88" s="4">
        <v>11.39</v>
      </c>
      <c r="C88" s="4">
        <v>10.91</v>
      </c>
      <c r="D88" s="4">
        <v>11.09</v>
      </c>
      <c r="E88" s="4">
        <v>11.25</v>
      </c>
      <c r="F88" s="5">
        <v>-1.4427412082957725E-2</v>
      </c>
      <c r="G88" s="5">
        <v>-1.0476538823283477E-2</v>
      </c>
    </row>
    <row r="89" spans="1:7" x14ac:dyDescent="0.35">
      <c r="A89" s="3">
        <v>44136</v>
      </c>
      <c r="B89" s="4">
        <v>11.59</v>
      </c>
      <c r="C89" s="4">
        <v>11.04</v>
      </c>
      <c r="D89" s="4">
        <v>11.25</v>
      </c>
      <c r="E89" s="4">
        <v>11.57</v>
      </c>
      <c r="F89" s="5">
        <v>-2.8444444444444494E-2</v>
      </c>
      <c r="G89" s="5">
        <v>-2.5803449078263707E-2</v>
      </c>
    </row>
    <row r="90" spans="1:7" x14ac:dyDescent="0.35">
      <c r="A90" s="3">
        <v>44137</v>
      </c>
      <c r="B90" s="4">
        <v>11.69</v>
      </c>
      <c r="C90" s="4">
        <v>10.72</v>
      </c>
      <c r="D90" s="4">
        <v>11.57</v>
      </c>
      <c r="E90" s="4">
        <v>10.79</v>
      </c>
      <c r="F90" s="5">
        <v>6.7415730337078705E-2</v>
      </c>
      <c r="G90" s="5">
        <v>3.3119092627599156E-2</v>
      </c>
    </row>
    <row r="91" spans="1:7" x14ac:dyDescent="0.35">
      <c r="A91" s="3">
        <v>44138</v>
      </c>
      <c r="B91" s="4">
        <v>10.79</v>
      </c>
      <c r="C91" s="4">
        <v>10.08</v>
      </c>
      <c r="D91" s="4">
        <v>10.79</v>
      </c>
      <c r="E91" s="4">
        <v>10.39</v>
      </c>
      <c r="F91" s="5">
        <v>3.7071362372567029E-2</v>
      </c>
      <c r="G91" s="5">
        <v>-1.191314095044449E-2</v>
      </c>
    </row>
    <row r="92" spans="1:7" x14ac:dyDescent="0.35">
      <c r="A92" s="3">
        <v>44139</v>
      </c>
      <c r="B92" s="4">
        <v>10.4</v>
      </c>
      <c r="C92" s="4">
        <v>10.33</v>
      </c>
      <c r="D92" s="4">
        <v>10.39</v>
      </c>
      <c r="E92" s="4">
        <v>10.36</v>
      </c>
      <c r="F92" s="5">
        <v>2.8873917228104951E-3</v>
      </c>
      <c r="G92" s="5">
        <v>-1.5456746870001759E-4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B6828-CFB1-48A9-BBA3-1033A9CA0B80}">
  <sheetPr codeName="Sheet18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11909.81</v>
      </c>
      <c r="C2" s="4">
        <v>11577.8</v>
      </c>
      <c r="D2" s="4">
        <v>11752.05</v>
      </c>
      <c r="E2" s="4">
        <v>11771.27</v>
      </c>
    </row>
    <row r="3" spans="1:7" x14ac:dyDescent="0.35">
      <c r="A3" s="3">
        <v>44050</v>
      </c>
      <c r="B3" s="4">
        <v>11912.62</v>
      </c>
      <c r="C3" s="4">
        <v>11350.42</v>
      </c>
      <c r="D3" s="4">
        <v>11771.27</v>
      </c>
      <c r="E3" s="4">
        <v>11603.82</v>
      </c>
      <c r="F3" s="5">
        <v>1.4225312986619221E-2</v>
      </c>
      <c r="G3" s="5">
        <v>3.9160591332523365E-2</v>
      </c>
    </row>
    <row r="4" spans="1:7" x14ac:dyDescent="0.35">
      <c r="A4" s="3">
        <v>44051</v>
      </c>
      <c r="B4" s="4">
        <v>11811.4</v>
      </c>
      <c r="C4" s="4">
        <v>11534.87</v>
      </c>
      <c r="D4" s="4">
        <v>11603.82</v>
      </c>
      <c r="E4" s="4">
        <v>11770.77</v>
      </c>
      <c r="F4" s="5">
        <v>-1.4387503425596027E-2</v>
      </c>
      <c r="G4" s="5">
        <v>-4.739573728166091E-2</v>
      </c>
    </row>
    <row r="5" spans="1:7" x14ac:dyDescent="0.35">
      <c r="A5" s="3">
        <v>44052</v>
      </c>
      <c r="B5" s="4">
        <v>11802.93</v>
      </c>
      <c r="C5" s="4">
        <v>11533.93</v>
      </c>
      <c r="D5" s="4">
        <v>11770.77</v>
      </c>
      <c r="E5" s="4">
        <v>11686.34</v>
      </c>
      <c r="F5" s="5">
        <v>7.1728527530484643E-3</v>
      </c>
      <c r="G5" s="5">
        <v>1.8311701378408318E-2</v>
      </c>
    </row>
    <row r="6" spans="1:7" x14ac:dyDescent="0.35">
      <c r="A6" s="3">
        <v>44053</v>
      </c>
      <c r="B6" s="4">
        <v>12074.31</v>
      </c>
      <c r="C6" s="4">
        <v>11640.41</v>
      </c>
      <c r="D6" s="4">
        <v>11686.34</v>
      </c>
      <c r="E6" s="4">
        <v>11897.41</v>
      </c>
      <c r="F6" s="5">
        <v>-1.8061257844628864E-2</v>
      </c>
      <c r="G6" s="5">
        <v>-1.3913088039356314E-2</v>
      </c>
    </row>
    <row r="7" spans="1:7" x14ac:dyDescent="0.35">
      <c r="A7" s="3">
        <v>44054</v>
      </c>
      <c r="B7" s="4">
        <v>11940.4</v>
      </c>
      <c r="C7" s="4">
        <v>11138.6</v>
      </c>
      <c r="D7" s="4">
        <v>11897.41</v>
      </c>
      <c r="E7" s="4">
        <v>11389.01</v>
      </c>
      <c r="F7" s="5">
        <v>4.2731989567477258E-2</v>
      </c>
      <c r="G7" s="5">
        <v>4.2379520355816047E-2</v>
      </c>
    </row>
    <row r="8" spans="1:7" x14ac:dyDescent="0.35">
      <c r="A8" s="3">
        <v>44055</v>
      </c>
      <c r="B8" s="4">
        <v>11621.05</v>
      </c>
      <c r="C8" s="4">
        <v>11182.8</v>
      </c>
      <c r="D8" s="4">
        <v>11389.01</v>
      </c>
      <c r="E8" s="4">
        <v>11570.19</v>
      </c>
      <c r="F8" s="5">
        <v>-1.5908318633489626E-2</v>
      </c>
      <c r="G8" s="5">
        <v>-2.1771256663323912E-2</v>
      </c>
    </row>
    <row r="9" spans="1:7" x14ac:dyDescent="0.35">
      <c r="A9" s="3">
        <v>44056</v>
      </c>
      <c r="B9" s="4">
        <v>11795.34</v>
      </c>
      <c r="C9" s="4">
        <v>11284.57</v>
      </c>
      <c r="D9" s="4">
        <v>11570.19</v>
      </c>
      <c r="E9" s="4">
        <v>11790.68</v>
      </c>
      <c r="F9" s="5">
        <v>-1.9056731134060811E-2</v>
      </c>
      <c r="G9" s="5">
        <v>-9.7574834060797144E-2</v>
      </c>
    </row>
    <row r="10" spans="1:7" x14ac:dyDescent="0.35">
      <c r="A10" s="3">
        <v>44057</v>
      </c>
      <c r="B10" s="4">
        <v>11863.43</v>
      </c>
      <c r="C10" s="4">
        <v>11657.2</v>
      </c>
      <c r="D10" s="4">
        <v>11790.68</v>
      </c>
      <c r="E10" s="4">
        <v>11774.52</v>
      </c>
      <c r="F10" s="5">
        <v>1.3705740466198879E-3</v>
      </c>
      <c r="G10" s="5">
        <v>-3.1861072546297331E-2</v>
      </c>
    </row>
    <row r="11" spans="1:7" x14ac:dyDescent="0.35">
      <c r="A11" s="3">
        <v>44058</v>
      </c>
      <c r="B11" s="4">
        <v>11981.62</v>
      </c>
      <c r="C11" s="4">
        <v>11697.88</v>
      </c>
      <c r="D11" s="4">
        <v>11774.52</v>
      </c>
      <c r="E11" s="4">
        <v>11860.91</v>
      </c>
      <c r="F11" s="5">
        <v>-7.3370294500327837E-3</v>
      </c>
      <c r="G11" s="5">
        <v>1.3545871245809638E-2</v>
      </c>
    </row>
    <row r="12" spans="1:7" x14ac:dyDescent="0.35">
      <c r="A12" s="3">
        <v>44059</v>
      </c>
      <c r="B12" s="4">
        <v>11934.96</v>
      </c>
      <c r="C12" s="4">
        <v>11701.22</v>
      </c>
      <c r="D12" s="4">
        <v>11860.91</v>
      </c>
      <c r="E12" s="4">
        <v>11917.97</v>
      </c>
      <c r="F12" s="5">
        <v>-4.8107607257790175E-3</v>
      </c>
      <c r="G12" s="5">
        <v>-2.9590586494672166E-3</v>
      </c>
    </row>
    <row r="13" spans="1:7" x14ac:dyDescent="0.35">
      <c r="A13" s="3">
        <v>44060</v>
      </c>
      <c r="B13" s="4">
        <v>12474.73</v>
      </c>
      <c r="C13" s="4">
        <v>11775.66</v>
      </c>
      <c r="D13" s="4">
        <v>11917.97</v>
      </c>
      <c r="E13" s="4">
        <v>12301.19</v>
      </c>
      <c r="F13" s="5">
        <v>-3.2154804887073896E-2</v>
      </c>
      <c r="G13" s="5">
        <v>5.9698052322232353E-3</v>
      </c>
    </row>
    <row r="14" spans="1:7" x14ac:dyDescent="0.35">
      <c r="A14" s="3">
        <v>44061</v>
      </c>
      <c r="B14" s="4">
        <v>12397.4</v>
      </c>
      <c r="C14" s="4">
        <v>11855.24</v>
      </c>
      <c r="D14" s="4">
        <v>12301.19</v>
      </c>
      <c r="E14" s="4">
        <v>11956.69</v>
      </c>
      <c r="F14" s="5">
        <v>2.8005420613777976E-2</v>
      </c>
      <c r="G14" s="5">
        <v>2.1031396373417444E-2</v>
      </c>
    </row>
    <row r="15" spans="1:7" x14ac:dyDescent="0.35">
      <c r="A15" s="3">
        <v>44062</v>
      </c>
      <c r="B15" s="4">
        <v>12021.8</v>
      </c>
      <c r="C15" s="4">
        <v>11592.2</v>
      </c>
      <c r="D15" s="4">
        <v>11956.69</v>
      </c>
      <c r="E15" s="4">
        <v>11760.37</v>
      </c>
      <c r="F15" s="5">
        <v>1.6419259845325107E-2</v>
      </c>
      <c r="G15" s="5">
        <v>3.3965750017764473E-2</v>
      </c>
    </row>
    <row r="16" spans="1:7" x14ac:dyDescent="0.35">
      <c r="A16" s="3">
        <v>44063</v>
      </c>
      <c r="B16" s="4">
        <v>11888.72</v>
      </c>
      <c r="C16" s="4">
        <v>11679.03</v>
      </c>
      <c r="D16" s="4">
        <v>11760.37</v>
      </c>
      <c r="E16" s="4">
        <v>11863.43</v>
      </c>
      <c r="F16" s="5">
        <v>-8.7633297251701325E-3</v>
      </c>
      <c r="G16" s="5">
        <v>-2.0080912100036707E-2</v>
      </c>
    </row>
    <row r="17" spans="1:7" x14ac:dyDescent="0.35">
      <c r="A17" s="3">
        <v>44064</v>
      </c>
      <c r="B17" s="4">
        <v>11882.67</v>
      </c>
      <c r="C17" s="4">
        <v>11494.52</v>
      </c>
      <c r="D17" s="4">
        <v>11863.43</v>
      </c>
      <c r="E17" s="4">
        <v>11527.35</v>
      </c>
      <c r="F17" s="5">
        <v>2.8329075149429839E-2</v>
      </c>
      <c r="G17" s="5">
        <v>6.7445437938659758E-2</v>
      </c>
    </row>
    <row r="18" spans="1:7" x14ac:dyDescent="0.35">
      <c r="A18" s="3">
        <v>44065</v>
      </c>
      <c r="B18" s="4">
        <v>11686.02</v>
      </c>
      <c r="C18" s="4">
        <v>11379.06</v>
      </c>
      <c r="D18" s="4">
        <v>11527.35</v>
      </c>
      <c r="E18" s="4">
        <v>11670.42</v>
      </c>
      <c r="F18" s="5">
        <v>-1.2411352132103204E-2</v>
      </c>
      <c r="G18" s="5">
        <v>-1.9279344296097678E-2</v>
      </c>
    </row>
    <row r="19" spans="1:7" x14ac:dyDescent="0.35">
      <c r="A19" s="3">
        <v>44066</v>
      </c>
      <c r="B19" s="4">
        <v>11713.62</v>
      </c>
      <c r="C19" s="4">
        <v>11521.6</v>
      </c>
      <c r="D19" s="4">
        <v>11670.42</v>
      </c>
      <c r="E19" s="4">
        <v>11651.52</v>
      </c>
      <c r="F19" s="5">
        <v>1.619478990473322E-3</v>
      </c>
      <c r="G19" s="5">
        <v>1.1986041571840245E-2</v>
      </c>
    </row>
    <row r="20" spans="1:7" x14ac:dyDescent="0.35">
      <c r="A20" s="3">
        <v>44067</v>
      </c>
      <c r="B20" s="4">
        <v>11827.45</v>
      </c>
      <c r="C20" s="4">
        <v>11594.64</v>
      </c>
      <c r="D20" s="4">
        <v>11651.52</v>
      </c>
      <c r="E20" s="4">
        <v>11756.4</v>
      </c>
      <c r="F20" s="5">
        <v>-9.0014006756198306E-3</v>
      </c>
      <c r="G20" s="5">
        <v>-4.4302825552825498E-2</v>
      </c>
    </row>
    <row r="21" spans="1:7" x14ac:dyDescent="0.35">
      <c r="A21" s="3">
        <v>44068</v>
      </c>
      <c r="B21" s="4">
        <v>11767.64</v>
      </c>
      <c r="C21" s="4">
        <v>11130.36</v>
      </c>
      <c r="D21" s="4">
        <v>11756.4</v>
      </c>
      <c r="E21" s="4">
        <v>11330.56</v>
      </c>
      <c r="F21" s="5">
        <v>3.6221972712735195E-2</v>
      </c>
      <c r="G21" s="5">
        <v>6.051025659877951E-2</v>
      </c>
    </row>
    <row r="22" spans="1:7" x14ac:dyDescent="0.35">
      <c r="A22" s="3">
        <v>44069</v>
      </c>
      <c r="B22" s="4">
        <v>11542.65</v>
      </c>
      <c r="C22" s="4">
        <v>11259.23</v>
      </c>
      <c r="D22" s="4">
        <v>11330.56</v>
      </c>
      <c r="E22" s="4">
        <v>11466.89</v>
      </c>
      <c r="F22" s="5">
        <v>-1.2032061963398011E-2</v>
      </c>
      <c r="G22" s="5">
        <v>-6.9911827620390277E-3</v>
      </c>
    </row>
    <row r="23" spans="1:7" x14ac:dyDescent="0.35">
      <c r="A23" s="3">
        <v>44070</v>
      </c>
      <c r="B23" s="4">
        <v>11591.64</v>
      </c>
      <c r="C23" s="4">
        <v>11135.52</v>
      </c>
      <c r="D23" s="4">
        <v>11466.89</v>
      </c>
      <c r="E23" s="4">
        <v>11331.02</v>
      </c>
      <c r="F23" s="5">
        <v>1.184889712903836E-2</v>
      </c>
      <c r="G23" s="5">
        <v>7.8493342313868952E-3</v>
      </c>
    </row>
    <row r="24" spans="1:7" x14ac:dyDescent="0.35">
      <c r="A24" s="3">
        <v>44071</v>
      </c>
      <c r="B24" s="4">
        <v>11553.81</v>
      </c>
      <c r="C24" s="4">
        <v>11289.07</v>
      </c>
      <c r="D24" s="4">
        <v>11331.02</v>
      </c>
      <c r="E24" s="4">
        <v>11535.21</v>
      </c>
      <c r="F24" s="5">
        <v>-1.8020442996305563E-2</v>
      </c>
      <c r="G24" s="5">
        <v>-3.2768479594767586E-2</v>
      </c>
    </row>
    <row r="25" spans="1:7" x14ac:dyDescent="0.35">
      <c r="A25" s="3">
        <v>44072</v>
      </c>
      <c r="B25" s="4">
        <v>11585.98</v>
      </c>
      <c r="C25" s="4">
        <v>11433.8</v>
      </c>
      <c r="D25" s="4">
        <v>11535.21</v>
      </c>
      <c r="E25" s="4">
        <v>11480.48</v>
      </c>
      <c r="F25" s="5">
        <v>4.7446036959881699E-3</v>
      </c>
      <c r="G25" s="5">
        <v>-8.6211255498811479E-3</v>
      </c>
    </row>
    <row r="26" spans="1:7" x14ac:dyDescent="0.35">
      <c r="A26" s="3">
        <v>44073</v>
      </c>
      <c r="B26" s="4">
        <v>11718.98</v>
      </c>
      <c r="C26" s="4">
        <v>11470.07</v>
      </c>
      <c r="D26" s="4">
        <v>11480.48</v>
      </c>
      <c r="E26" s="4">
        <v>11716.54</v>
      </c>
      <c r="F26" s="5">
        <v>-2.0561858040778924E-2</v>
      </c>
      <c r="G26" s="5">
        <v>-7.5773906504574606E-2</v>
      </c>
    </row>
    <row r="27" spans="1:7" x14ac:dyDescent="0.35">
      <c r="A27" s="3">
        <v>44074</v>
      </c>
      <c r="B27" s="4">
        <v>11775.27</v>
      </c>
      <c r="C27" s="4">
        <v>11586.36</v>
      </c>
      <c r="D27" s="4">
        <v>11716.54</v>
      </c>
      <c r="E27" s="4">
        <v>11657.81</v>
      </c>
      <c r="F27" s="5">
        <v>5.01257197090621E-3</v>
      </c>
      <c r="G27" s="5">
        <v>-1.1556922503378475E-2</v>
      </c>
    </row>
    <row r="28" spans="1:7" x14ac:dyDescent="0.35">
      <c r="A28" s="3">
        <v>44075</v>
      </c>
      <c r="B28" s="4">
        <v>12062.06</v>
      </c>
      <c r="C28" s="4">
        <v>11540.42</v>
      </c>
      <c r="D28" s="4">
        <v>11657.81</v>
      </c>
      <c r="E28" s="4">
        <v>11926.69</v>
      </c>
      <c r="F28" s="5">
        <v>-2.3064366291782212E-2</v>
      </c>
      <c r="G28" s="5">
        <v>-9.6397475468742888E-2</v>
      </c>
    </row>
    <row r="29" spans="1:7" x14ac:dyDescent="0.35">
      <c r="A29" s="3">
        <v>44076</v>
      </c>
      <c r="B29" s="4">
        <v>11954.28</v>
      </c>
      <c r="C29" s="4">
        <v>11219.19</v>
      </c>
      <c r="D29" s="4">
        <v>11926.69</v>
      </c>
      <c r="E29" s="4">
        <v>11397.9</v>
      </c>
      <c r="F29" s="5">
        <v>4.4336693583886255E-2</v>
      </c>
      <c r="G29" s="5">
        <v>7.5967982520641186E-2</v>
      </c>
    </row>
    <row r="30" spans="1:7" x14ac:dyDescent="0.35">
      <c r="A30" s="3">
        <v>44077</v>
      </c>
      <c r="B30" s="4">
        <v>11469.2</v>
      </c>
      <c r="C30" s="4">
        <v>10017.43</v>
      </c>
      <c r="D30" s="4">
        <v>11397.9</v>
      </c>
      <c r="E30" s="4">
        <v>10174.620000000001</v>
      </c>
      <c r="F30" s="5">
        <v>0.1073250335588134</v>
      </c>
      <c r="G30" s="5">
        <v>0.1304367596571403</v>
      </c>
    </row>
    <row r="31" spans="1:7" x14ac:dyDescent="0.35">
      <c r="A31" s="3">
        <v>44078</v>
      </c>
      <c r="B31" s="4">
        <v>10638.71</v>
      </c>
      <c r="C31" s="4">
        <v>10020.02</v>
      </c>
      <c r="D31" s="4">
        <v>10174.620000000001</v>
      </c>
      <c r="E31" s="4">
        <v>10467.33</v>
      </c>
      <c r="F31" s="5">
        <v>-2.8768641973852427E-2</v>
      </c>
      <c r="G31" s="5">
        <v>-9.0205511687497797E-3</v>
      </c>
    </row>
    <row r="32" spans="1:7" x14ac:dyDescent="0.35">
      <c r="A32" s="3">
        <v>44079</v>
      </c>
      <c r="B32" s="4">
        <v>10570.95</v>
      </c>
      <c r="C32" s="4">
        <v>9880.0499999999993</v>
      </c>
      <c r="D32" s="4">
        <v>10467.33</v>
      </c>
      <c r="E32" s="4">
        <v>10167.969999999999</v>
      </c>
      <c r="F32" s="5">
        <v>2.8599461371715651E-2</v>
      </c>
      <c r="G32" s="5">
        <v>0.13130004405172191</v>
      </c>
    </row>
    <row r="33" spans="1:7" x14ac:dyDescent="0.35">
      <c r="A33" s="3">
        <v>44080</v>
      </c>
      <c r="B33" s="4">
        <v>10361.120000000001</v>
      </c>
      <c r="C33" s="4">
        <v>10019.56</v>
      </c>
      <c r="D33" s="4">
        <v>10167.969999999999</v>
      </c>
      <c r="E33" s="4">
        <v>10260.370000000001</v>
      </c>
      <c r="F33" s="5">
        <v>-9.0873596204552598E-3</v>
      </c>
      <c r="G33" s="5">
        <v>-5.2052261066698469E-2</v>
      </c>
    </row>
    <row r="34" spans="1:7" x14ac:dyDescent="0.35">
      <c r="A34" s="3">
        <v>44081</v>
      </c>
      <c r="B34" s="4">
        <v>10411.92</v>
      </c>
      <c r="C34" s="4">
        <v>9893.68</v>
      </c>
      <c r="D34" s="4">
        <v>10260.370000000001</v>
      </c>
      <c r="E34" s="4">
        <v>10379.08</v>
      </c>
      <c r="F34" s="5">
        <v>-1.1569758205600689E-2</v>
      </c>
      <c r="G34" s="5">
        <v>-2.8637046698234414E-3</v>
      </c>
    </row>
    <row r="35" spans="1:7" x14ac:dyDescent="0.35">
      <c r="A35" s="3">
        <v>44082</v>
      </c>
      <c r="B35" s="4">
        <v>10443.719999999999</v>
      </c>
      <c r="C35" s="4">
        <v>9855.68</v>
      </c>
      <c r="D35" s="4">
        <v>10379.08</v>
      </c>
      <c r="E35" s="4">
        <v>10128.540000000001</v>
      </c>
      <c r="F35" s="5">
        <v>2.4138941023674421E-2</v>
      </c>
      <c r="G35" s="5">
        <v>4.5942889454339886E-2</v>
      </c>
    </row>
    <row r="36" spans="1:7" x14ac:dyDescent="0.35">
      <c r="A36" s="3">
        <v>44083</v>
      </c>
      <c r="B36" s="4">
        <v>10349.09</v>
      </c>
      <c r="C36" s="4">
        <v>9989.6299999999992</v>
      </c>
      <c r="D36" s="4">
        <v>10128.540000000001</v>
      </c>
      <c r="E36" s="4">
        <v>10228.85</v>
      </c>
      <c r="F36" s="5">
        <v>-9.9036978676096954E-3</v>
      </c>
      <c r="G36" s="5">
        <v>-4.0598607201066894E-2</v>
      </c>
    </row>
    <row r="37" spans="1:7" x14ac:dyDescent="0.35">
      <c r="A37" s="3">
        <v>44084</v>
      </c>
      <c r="B37" s="4">
        <v>10493.32</v>
      </c>
      <c r="C37" s="4">
        <v>10221.370000000001</v>
      </c>
      <c r="D37" s="4">
        <v>10228.85</v>
      </c>
      <c r="E37" s="4">
        <v>10345.68</v>
      </c>
      <c r="F37" s="5">
        <v>-1.1421616310729021E-2</v>
      </c>
      <c r="G37" s="5">
        <v>-4.8241492239783579E-2</v>
      </c>
    </row>
    <row r="38" spans="1:7" x14ac:dyDescent="0.35">
      <c r="A38" s="3">
        <v>44085</v>
      </c>
      <c r="B38" s="4">
        <v>10412.6</v>
      </c>
      <c r="C38" s="4">
        <v>10215.49</v>
      </c>
      <c r="D38" s="4">
        <v>10345.68</v>
      </c>
      <c r="E38" s="4">
        <v>10398.5</v>
      </c>
      <c r="F38" s="5">
        <v>-5.1055126390917582E-3</v>
      </c>
      <c r="G38" s="5">
        <v>-1.6028688635931543E-2</v>
      </c>
    </row>
    <row r="39" spans="1:7" x14ac:dyDescent="0.35">
      <c r="A39" s="3">
        <v>44086</v>
      </c>
      <c r="B39" s="4">
        <v>10486.76</v>
      </c>
      <c r="C39" s="4">
        <v>10282.43</v>
      </c>
      <c r="D39" s="4">
        <v>10398.5</v>
      </c>
      <c r="E39" s="4">
        <v>10448</v>
      </c>
      <c r="F39" s="5">
        <v>-4.7603019666297985E-3</v>
      </c>
      <c r="G39" s="5">
        <v>-3.7567849407738274E-2</v>
      </c>
    </row>
    <row r="40" spans="1:7" x14ac:dyDescent="0.35">
      <c r="A40" s="3">
        <v>44087</v>
      </c>
      <c r="B40" s="4">
        <v>10578.97</v>
      </c>
      <c r="C40" s="4">
        <v>10224.4</v>
      </c>
      <c r="D40" s="4">
        <v>10448</v>
      </c>
      <c r="E40" s="4">
        <v>10332.36</v>
      </c>
      <c r="F40" s="5">
        <v>1.1068147013782448E-2</v>
      </c>
      <c r="G40" s="5">
        <v>5.6076693124420318E-2</v>
      </c>
    </row>
    <row r="41" spans="1:7" x14ac:dyDescent="0.35">
      <c r="A41" s="3">
        <v>44088</v>
      </c>
      <c r="B41" s="4">
        <v>10753.33</v>
      </c>
      <c r="C41" s="4">
        <v>10259.620000000001</v>
      </c>
      <c r="D41" s="4">
        <v>10332.36</v>
      </c>
      <c r="E41" s="4">
        <v>10678.31</v>
      </c>
      <c r="F41" s="5">
        <v>-3.348218606397757E-2</v>
      </c>
      <c r="G41" s="5">
        <v>-2.9977066724909962E-2</v>
      </c>
    </row>
    <row r="42" spans="1:7" x14ac:dyDescent="0.35">
      <c r="A42" s="3">
        <v>44089</v>
      </c>
      <c r="B42" s="4">
        <v>10936.89</v>
      </c>
      <c r="C42" s="4">
        <v>10632.26</v>
      </c>
      <c r="D42" s="4">
        <v>10678.31</v>
      </c>
      <c r="E42" s="4">
        <v>10786.7</v>
      </c>
      <c r="F42" s="5">
        <v>-1.0150482613821898E-2</v>
      </c>
      <c r="G42" s="5">
        <v>3.4724062980437842E-2</v>
      </c>
    </row>
    <row r="43" spans="1:7" x14ac:dyDescent="0.35">
      <c r="A43" s="3">
        <v>44090</v>
      </c>
      <c r="B43" s="4">
        <v>11094.7</v>
      </c>
      <c r="C43" s="4">
        <v>10670.02</v>
      </c>
      <c r="D43" s="4">
        <v>10786.7</v>
      </c>
      <c r="E43" s="4">
        <v>10957.1</v>
      </c>
      <c r="F43" s="5">
        <v>-1.5797231776168763E-2</v>
      </c>
      <c r="G43" s="5">
        <v>-2.5538224956060951E-3</v>
      </c>
    </row>
    <row r="44" spans="1:7" x14ac:dyDescent="0.35">
      <c r="A44" s="3">
        <v>44091</v>
      </c>
      <c r="B44" s="4">
        <v>11047.25</v>
      </c>
      <c r="C44" s="4">
        <v>10755.99</v>
      </c>
      <c r="D44" s="4">
        <v>10957.1</v>
      </c>
      <c r="E44" s="4">
        <v>10945.14</v>
      </c>
      <c r="F44" s="5">
        <v>1.0915296930757989E-3</v>
      </c>
      <c r="G44" s="5">
        <v>-6.6969788271385333E-2</v>
      </c>
    </row>
    <row r="45" spans="1:7" x14ac:dyDescent="0.35">
      <c r="A45" s="3">
        <v>44092</v>
      </c>
      <c r="B45" s="4">
        <v>11040.66</v>
      </c>
      <c r="C45" s="4">
        <v>10823.93</v>
      </c>
      <c r="D45" s="4">
        <v>10945.14</v>
      </c>
      <c r="E45" s="4">
        <v>10937.89</v>
      </c>
      <c r="F45" s="5">
        <v>6.6239445087046267E-4</v>
      </c>
      <c r="G45" s="5">
        <v>1.3015351440160194E-2</v>
      </c>
    </row>
    <row r="46" spans="1:7" x14ac:dyDescent="0.35">
      <c r="A46" s="3">
        <v>44093</v>
      </c>
      <c r="B46" s="4">
        <v>11173.88</v>
      </c>
      <c r="C46" s="4">
        <v>10898.63</v>
      </c>
      <c r="D46" s="4">
        <v>10937.89</v>
      </c>
      <c r="E46" s="4">
        <v>11083.61</v>
      </c>
      <c r="F46" s="5">
        <v>-1.3322496386414695E-2</v>
      </c>
      <c r="G46" s="5">
        <v>-2.0807865373109191E-3</v>
      </c>
    </row>
    <row r="47" spans="1:7" x14ac:dyDescent="0.35">
      <c r="A47" s="3">
        <v>44094</v>
      </c>
      <c r="B47" s="4">
        <v>11083.9</v>
      </c>
      <c r="C47" s="4">
        <v>10775.23</v>
      </c>
      <c r="D47" s="4">
        <v>11083.61</v>
      </c>
      <c r="E47" s="4">
        <v>10921.85</v>
      </c>
      <c r="F47" s="5">
        <v>1.4594522903638829E-2</v>
      </c>
      <c r="G47" s="5">
        <v>3.6987048044228699E-2</v>
      </c>
    </row>
    <row r="48" spans="1:7" x14ac:dyDescent="0.35">
      <c r="A48" s="3">
        <v>44095</v>
      </c>
      <c r="B48" s="4">
        <v>10992.25</v>
      </c>
      <c r="C48" s="4">
        <v>10319.73</v>
      </c>
      <c r="D48" s="4">
        <v>10921.85</v>
      </c>
      <c r="E48" s="4">
        <v>10418.14</v>
      </c>
      <c r="F48" s="5">
        <v>4.611947609608269E-2</v>
      </c>
      <c r="G48" s="5">
        <v>8.3095250929869025E-2</v>
      </c>
    </row>
    <row r="49" spans="1:7" x14ac:dyDescent="0.35">
      <c r="A49" s="3">
        <v>44096</v>
      </c>
      <c r="B49" s="4">
        <v>10576.92</v>
      </c>
      <c r="C49" s="4">
        <v>10365.99</v>
      </c>
      <c r="D49" s="4">
        <v>10418.14</v>
      </c>
      <c r="E49" s="4">
        <v>10534.73</v>
      </c>
      <c r="F49" s="5">
        <v>-1.1191057136878513E-2</v>
      </c>
      <c r="G49" s="5">
        <v>-1.1934507187160159E-2</v>
      </c>
    </row>
    <row r="50" spans="1:7" x14ac:dyDescent="0.35">
      <c r="A50" s="3">
        <v>44097</v>
      </c>
      <c r="B50" s="4">
        <v>10546.48</v>
      </c>
      <c r="C50" s="4">
        <v>10166.620000000001</v>
      </c>
      <c r="D50" s="4">
        <v>10534.73</v>
      </c>
      <c r="E50" s="4">
        <v>10238.09</v>
      </c>
      <c r="F50" s="5">
        <v>2.8158291669553859E-2</v>
      </c>
      <c r="G50" s="5">
        <v>6.989106753812635E-2</v>
      </c>
    </row>
    <row r="51" spans="1:7" x14ac:dyDescent="0.35">
      <c r="A51" s="3">
        <v>44098</v>
      </c>
      <c r="B51" s="4">
        <v>10792.17</v>
      </c>
      <c r="C51" s="4">
        <v>10213.75</v>
      </c>
      <c r="D51" s="4">
        <v>10238.09</v>
      </c>
      <c r="E51" s="4">
        <v>10742.98</v>
      </c>
      <c r="F51" s="5">
        <v>-4.9314862440162033E-2</v>
      </c>
      <c r="G51" s="5">
        <v>-9.0539991879821313E-2</v>
      </c>
    </row>
    <row r="52" spans="1:7" x14ac:dyDescent="0.35">
      <c r="A52" s="3">
        <v>44099</v>
      </c>
      <c r="B52" s="4">
        <v>10762.38</v>
      </c>
      <c r="C52" s="4">
        <v>10562.14</v>
      </c>
      <c r="D52" s="4">
        <v>10742.98</v>
      </c>
      <c r="E52" s="4">
        <v>10694.12</v>
      </c>
      <c r="F52" s="5">
        <v>4.5480862851833281E-3</v>
      </c>
      <c r="G52" s="5">
        <v>-8.133340970273073E-3</v>
      </c>
    </row>
    <row r="53" spans="1:7" x14ac:dyDescent="0.35">
      <c r="A53" s="3">
        <v>44100</v>
      </c>
      <c r="B53" s="4">
        <v>10822.99</v>
      </c>
      <c r="C53" s="4">
        <v>10658.15</v>
      </c>
      <c r="D53" s="4">
        <v>10694.12</v>
      </c>
      <c r="E53" s="4">
        <v>10734.23</v>
      </c>
      <c r="F53" s="5">
        <v>-3.7506592407789974E-3</v>
      </c>
      <c r="G53" s="5">
        <v>-6.2780523833874113E-3</v>
      </c>
    </row>
    <row r="54" spans="1:7" x14ac:dyDescent="0.35">
      <c r="A54" s="3">
        <v>44101</v>
      </c>
      <c r="B54" s="4">
        <v>10810.35</v>
      </c>
      <c r="C54" s="4">
        <v>10612.42</v>
      </c>
      <c r="D54" s="4">
        <v>10734.23</v>
      </c>
      <c r="E54" s="4">
        <v>10781.47</v>
      </c>
      <c r="F54" s="5">
        <v>-4.4008745853219011E-3</v>
      </c>
      <c r="G54" s="5">
        <v>-9.8805860599044948E-3</v>
      </c>
    </row>
    <row r="55" spans="1:7" x14ac:dyDescent="0.35">
      <c r="A55" s="3">
        <v>44102</v>
      </c>
      <c r="B55" s="4">
        <v>10951.6</v>
      </c>
      <c r="C55" s="4">
        <v>10649.18</v>
      </c>
      <c r="D55" s="4">
        <v>10781.47</v>
      </c>
      <c r="E55" s="4">
        <v>10699</v>
      </c>
      <c r="F55" s="5">
        <v>7.6492352156060095E-3</v>
      </c>
      <c r="G55" s="5">
        <v>1.0398904201492809E-2</v>
      </c>
    </row>
    <row r="56" spans="1:7" x14ac:dyDescent="0.35">
      <c r="A56" s="3">
        <v>44103</v>
      </c>
      <c r="B56" s="4">
        <v>10863.02</v>
      </c>
      <c r="C56" s="4">
        <v>10641.03</v>
      </c>
      <c r="D56" s="4">
        <v>10699</v>
      </c>
      <c r="E56" s="4">
        <v>10841.29</v>
      </c>
      <c r="F56" s="5">
        <v>-1.3299373773249856E-2</v>
      </c>
      <c r="G56" s="5">
        <v>-1.6694443659783786E-2</v>
      </c>
    </row>
    <row r="57" spans="1:7" x14ac:dyDescent="0.35">
      <c r="A57" s="3">
        <v>44104</v>
      </c>
      <c r="B57" s="4">
        <v>10850.12</v>
      </c>
      <c r="C57" s="4">
        <v>10666.17</v>
      </c>
      <c r="D57" s="4">
        <v>10841.29</v>
      </c>
      <c r="E57" s="4">
        <v>10779.42</v>
      </c>
      <c r="F57" s="5">
        <v>5.7068854352204657E-3</v>
      </c>
      <c r="G57" s="5">
        <v>2.7783951989335254E-4</v>
      </c>
    </row>
    <row r="58" spans="1:7" x14ac:dyDescent="0.35">
      <c r="A58" s="3">
        <v>44105</v>
      </c>
      <c r="B58" s="4">
        <v>10926.47</v>
      </c>
      <c r="C58" s="4">
        <v>10454.66</v>
      </c>
      <c r="D58" s="4">
        <v>10779.42</v>
      </c>
      <c r="E58" s="4">
        <v>10622.79</v>
      </c>
      <c r="F58" s="5">
        <v>1.4530466388729568E-2</v>
      </c>
      <c r="G58" s="5">
        <v>1.8370296259240804E-2</v>
      </c>
    </row>
    <row r="59" spans="1:7" x14ac:dyDescent="0.35">
      <c r="A59" s="3">
        <v>44106</v>
      </c>
      <c r="B59" s="4">
        <v>10668.49</v>
      </c>
      <c r="C59" s="4">
        <v>10388.07</v>
      </c>
      <c r="D59" s="4">
        <v>10622.79</v>
      </c>
      <c r="E59" s="4">
        <v>10576.64</v>
      </c>
      <c r="F59" s="5">
        <v>4.3444330538400244E-3</v>
      </c>
      <c r="G59" s="5">
        <v>2.0894085671413598E-2</v>
      </c>
    </row>
    <row r="60" spans="1:7" x14ac:dyDescent="0.35">
      <c r="A60" s="3">
        <v>44107</v>
      </c>
      <c r="B60" s="4">
        <v>10602.28</v>
      </c>
      <c r="C60" s="4">
        <v>10507.49</v>
      </c>
      <c r="D60" s="4">
        <v>10576.64</v>
      </c>
      <c r="E60" s="4">
        <v>10552.04</v>
      </c>
      <c r="F60" s="5">
        <v>2.3258804308361469E-3</v>
      </c>
      <c r="G60" s="5">
        <v>-1.4168811265651282E-3</v>
      </c>
    </row>
    <row r="61" spans="1:7" x14ac:dyDescent="0.35">
      <c r="A61" s="3">
        <v>44108</v>
      </c>
      <c r="B61" s="4">
        <v>10699.94</v>
      </c>
      <c r="C61" s="4">
        <v>10534.5</v>
      </c>
      <c r="D61" s="4">
        <v>10552.04</v>
      </c>
      <c r="E61" s="4">
        <v>10675.52</v>
      </c>
      <c r="F61" s="5">
        <v>-1.1702002645933796E-2</v>
      </c>
      <c r="G61" s="5">
        <v>-1.816239316239332E-2</v>
      </c>
    </row>
    <row r="62" spans="1:7" x14ac:dyDescent="0.35">
      <c r="A62" s="3">
        <v>44109</v>
      </c>
      <c r="B62" s="4">
        <v>10799.53</v>
      </c>
      <c r="C62" s="4">
        <v>10627.77</v>
      </c>
      <c r="D62" s="4">
        <v>10675.52</v>
      </c>
      <c r="E62" s="4">
        <v>10795.11</v>
      </c>
      <c r="F62" s="5">
        <v>-1.120226462036511E-2</v>
      </c>
      <c r="G62" s="5">
        <v>-3.2613936076684169E-3</v>
      </c>
    </row>
    <row r="63" spans="1:7" x14ac:dyDescent="0.35">
      <c r="A63" s="3">
        <v>44110</v>
      </c>
      <c r="B63" s="4">
        <v>10801.66</v>
      </c>
      <c r="C63" s="4">
        <v>10533.32</v>
      </c>
      <c r="D63" s="4">
        <v>10795.11</v>
      </c>
      <c r="E63" s="4">
        <v>10603.9</v>
      </c>
      <c r="F63" s="5">
        <v>1.7712649523719648E-2</v>
      </c>
      <c r="G63" s="5">
        <v>3.6493668023518722E-2</v>
      </c>
    </row>
    <row r="64" spans="1:7" x14ac:dyDescent="0.35">
      <c r="A64" s="3">
        <v>44111</v>
      </c>
      <c r="B64" s="4">
        <v>10679.76</v>
      </c>
      <c r="C64" s="4">
        <v>10554.41</v>
      </c>
      <c r="D64" s="4">
        <v>10603.9</v>
      </c>
      <c r="E64" s="4">
        <v>10672.67</v>
      </c>
      <c r="F64" s="5">
        <v>-6.4853497298165141E-3</v>
      </c>
      <c r="G64" s="5">
        <v>-3.1098723778788528E-3</v>
      </c>
    </row>
    <row r="65" spans="1:7" x14ac:dyDescent="0.35">
      <c r="A65" s="3">
        <v>44112</v>
      </c>
      <c r="B65" s="4">
        <v>10957.42</v>
      </c>
      <c r="C65" s="4">
        <v>10541.2</v>
      </c>
      <c r="D65" s="4">
        <v>10672.67</v>
      </c>
      <c r="E65" s="4">
        <v>10929.4</v>
      </c>
      <c r="F65" s="5">
        <v>-2.4054899102099014E-2</v>
      </c>
      <c r="G65" s="5">
        <v>-2.7170892925038714E-2</v>
      </c>
    </row>
    <row r="66" spans="1:7" x14ac:dyDescent="0.35">
      <c r="A66" s="3">
        <v>44113</v>
      </c>
      <c r="B66" s="4">
        <v>11109.32</v>
      </c>
      <c r="C66" s="4">
        <v>10839.3</v>
      </c>
      <c r="D66" s="4">
        <v>10929.4</v>
      </c>
      <c r="E66" s="4">
        <v>11058.78</v>
      </c>
      <c r="F66" s="5">
        <v>-1.1837795304408427E-2</v>
      </c>
      <c r="G66" s="5">
        <v>-4.0461275626423765E-2</v>
      </c>
    </row>
    <row r="67" spans="1:7" x14ac:dyDescent="0.35">
      <c r="A67" s="3">
        <v>44114</v>
      </c>
      <c r="B67" s="4">
        <v>11485.43</v>
      </c>
      <c r="C67" s="4">
        <v>11057.98</v>
      </c>
      <c r="D67" s="4">
        <v>11058.78</v>
      </c>
      <c r="E67" s="4">
        <v>11301.57</v>
      </c>
      <c r="F67" s="5">
        <v>-2.1954501310271102E-2</v>
      </c>
      <c r="G67" s="5">
        <v>-1.4969486330423276E-2</v>
      </c>
    </row>
    <row r="68" spans="1:7" x14ac:dyDescent="0.35">
      <c r="A68" s="3">
        <v>44115</v>
      </c>
      <c r="B68" s="4">
        <v>11434.1</v>
      </c>
      <c r="C68" s="4">
        <v>11284.09</v>
      </c>
      <c r="D68" s="4">
        <v>11301.57</v>
      </c>
      <c r="E68" s="4">
        <v>11375.51</v>
      </c>
      <c r="F68" s="5">
        <v>-6.5424538360598916E-3</v>
      </c>
      <c r="G68" s="5">
        <v>-9.4100517687663032E-3</v>
      </c>
    </row>
    <row r="69" spans="1:7" x14ac:dyDescent="0.35">
      <c r="A69" s="3">
        <v>44116</v>
      </c>
      <c r="B69" s="4">
        <v>11725.28</v>
      </c>
      <c r="C69" s="4">
        <v>11223.99</v>
      </c>
      <c r="D69" s="4">
        <v>11375.51</v>
      </c>
      <c r="E69" s="4">
        <v>11539.76</v>
      </c>
      <c r="F69" s="5">
        <v>-1.4438913068512971E-2</v>
      </c>
      <c r="G69" s="5">
        <v>-3.3496273739882954E-2</v>
      </c>
    </row>
    <row r="70" spans="1:7" x14ac:dyDescent="0.35">
      <c r="A70" s="3">
        <v>44117</v>
      </c>
      <c r="B70" s="4">
        <v>11561.69</v>
      </c>
      <c r="C70" s="4">
        <v>11314.56</v>
      </c>
      <c r="D70" s="4">
        <v>11539.76</v>
      </c>
      <c r="E70" s="4">
        <v>11427.29</v>
      </c>
      <c r="F70" s="5">
        <v>9.7463032160113316E-3</v>
      </c>
      <c r="G70" s="5">
        <v>1.421519216355227E-2</v>
      </c>
    </row>
    <row r="71" spans="1:7" x14ac:dyDescent="0.35">
      <c r="A71" s="3">
        <v>44118</v>
      </c>
      <c r="B71" s="4">
        <v>11550.25</v>
      </c>
      <c r="C71" s="4">
        <v>11298.88</v>
      </c>
      <c r="D71" s="4">
        <v>11427.29</v>
      </c>
      <c r="E71" s="4">
        <v>11429.3</v>
      </c>
      <c r="F71" s="5">
        <v>-1.7589472219547986E-4</v>
      </c>
      <c r="G71" s="5">
        <v>6.0302561547941336E-3</v>
      </c>
    </row>
    <row r="72" spans="1:7" x14ac:dyDescent="0.35">
      <c r="A72" s="3">
        <v>44119</v>
      </c>
      <c r="B72" s="4">
        <v>11607.59</v>
      </c>
      <c r="C72" s="4">
        <v>11269.05</v>
      </c>
      <c r="D72" s="4">
        <v>11429.3</v>
      </c>
      <c r="E72" s="4">
        <v>11508.31</v>
      </c>
      <c r="F72" s="5">
        <v>-6.9129343004383781E-3</v>
      </c>
      <c r="G72" s="5">
        <v>3.7192371607185359E-3</v>
      </c>
    </row>
    <row r="73" spans="1:7" x14ac:dyDescent="0.35">
      <c r="A73" s="3">
        <v>44120</v>
      </c>
      <c r="B73" s="4">
        <v>11545.35</v>
      </c>
      <c r="C73" s="4">
        <v>11224.89</v>
      </c>
      <c r="D73" s="4">
        <v>11508.31</v>
      </c>
      <c r="E73" s="4">
        <v>11326.25</v>
      </c>
      <c r="F73" s="5">
        <v>1.581987277019814E-2</v>
      </c>
      <c r="G73" s="5">
        <v>3.2088959491660018E-2</v>
      </c>
    </row>
    <row r="74" spans="1:7" x14ac:dyDescent="0.35">
      <c r="A74" s="3">
        <v>44121</v>
      </c>
      <c r="B74" s="4">
        <v>11410.01</v>
      </c>
      <c r="C74" s="4">
        <v>11270.69</v>
      </c>
      <c r="D74" s="4">
        <v>11326.25</v>
      </c>
      <c r="E74" s="4">
        <v>11367.65</v>
      </c>
      <c r="F74" s="5">
        <v>-3.6552256925284077E-3</v>
      </c>
      <c r="G74" s="5">
        <v>-8.3976147491657827E-3</v>
      </c>
    </row>
    <row r="75" spans="1:7" x14ac:dyDescent="0.35">
      <c r="A75" s="3">
        <v>44122</v>
      </c>
      <c r="B75" s="4">
        <v>11513.68</v>
      </c>
      <c r="C75" s="4">
        <v>11357.25</v>
      </c>
      <c r="D75" s="4">
        <v>11367.65</v>
      </c>
      <c r="E75" s="4">
        <v>11513.33</v>
      </c>
      <c r="F75" s="5">
        <v>-1.2815313631225456E-2</v>
      </c>
      <c r="G75" s="5">
        <v>-2.6556354265563575E-2</v>
      </c>
    </row>
    <row r="76" spans="1:7" x14ac:dyDescent="0.35">
      <c r="A76" s="3">
        <v>44123</v>
      </c>
      <c r="B76" s="4">
        <v>11821.95</v>
      </c>
      <c r="C76" s="4">
        <v>11417.11</v>
      </c>
      <c r="D76" s="4">
        <v>11513.33</v>
      </c>
      <c r="E76" s="4">
        <v>11756.88</v>
      </c>
      <c r="F76" s="5">
        <v>-2.1153740924649833E-2</v>
      </c>
      <c r="G76" s="5">
        <v>-2.5631540006343378E-3</v>
      </c>
    </row>
    <row r="77" spans="1:7" x14ac:dyDescent="0.35">
      <c r="A77" s="3">
        <v>44124</v>
      </c>
      <c r="B77" s="4">
        <v>12047.73</v>
      </c>
      <c r="C77" s="4">
        <v>11688.39</v>
      </c>
      <c r="D77" s="4">
        <v>11756.88</v>
      </c>
      <c r="E77" s="4">
        <v>11921.78</v>
      </c>
      <c r="F77" s="5">
        <v>-1.402582998210411E-2</v>
      </c>
      <c r="G77" s="5">
        <v>2.8122611422998878E-2</v>
      </c>
    </row>
    <row r="78" spans="1:7" x14ac:dyDescent="0.35">
      <c r="A78" s="3">
        <v>44125</v>
      </c>
      <c r="B78" s="4">
        <v>13236.39</v>
      </c>
      <c r="C78" s="4">
        <v>11900.51</v>
      </c>
      <c r="D78" s="4">
        <v>11921.78</v>
      </c>
      <c r="E78" s="4">
        <v>12813.11</v>
      </c>
      <c r="F78" s="5">
        <v>-7.4764842162831302E-2</v>
      </c>
      <c r="G78" s="5">
        <v>-6.1615230243531993E-2</v>
      </c>
    </row>
    <row r="79" spans="1:7" x14ac:dyDescent="0.35">
      <c r="A79" s="3">
        <v>44126</v>
      </c>
      <c r="B79" s="4">
        <v>13197.69</v>
      </c>
      <c r="C79" s="4">
        <v>12700.74</v>
      </c>
      <c r="D79" s="4">
        <v>12813.11</v>
      </c>
      <c r="E79" s="4">
        <v>12990.25</v>
      </c>
      <c r="F79" s="5">
        <v>-1.3824902775360526E-2</v>
      </c>
      <c r="G79" s="5">
        <v>-5.8856588157155221E-2</v>
      </c>
    </row>
    <row r="80" spans="1:7" x14ac:dyDescent="0.35">
      <c r="A80" s="3">
        <v>44127</v>
      </c>
      <c r="B80" s="4">
        <v>13031.82</v>
      </c>
      <c r="C80" s="4">
        <v>12732.62</v>
      </c>
      <c r="D80" s="4">
        <v>12990.25</v>
      </c>
      <c r="E80" s="4">
        <v>12937.2</v>
      </c>
      <c r="F80" s="5">
        <v>4.0838321048478621E-3</v>
      </c>
      <c r="G80" s="5">
        <v>1.189384800965021E-2</v>
      </c>
    </row>
    <row r="81" spans="1:7" x14ac:dyDescent="0.35">
      <c r="A81" s="3">
        <v>44128</v>
      </c>
      <c r="B81" s="4">
        <v>13167.31</v>
      </c>
      <c r="C81" s="4">
        <v>12886.47</v>
      </c>
      <c r="D81" s="4">
        <v>12937.2</v>
      </c>
      <c r="E81" s="4">
        <v>13126.13</v>
      </c>
      <c r="F81" s="5">
        <v>-1.4603623658905995E-2</v>
      </c>
      <c r="G81" s="5">
        <v>-7.275923529555417E-3</v>
      </c>
    </row>
    <row r="82" spans="1:7" x14ac:dyDescent="0.35">
      <c r="A82" s="3">
        <v>44129</v>
      </c>
      <c r="B82" s="4">
        <v>13346.7</v>
      </c>
      <c r="C82" s="4">
        <v>12910.39</v>
      </c>
      <c r="D82" s="4">
        <v>13126.13</v>
      </c>
      <c r="E82" s="4">
        <v>13041.21</v>
      </c>
      <c r="F82" s="5">
        <v>6.4695382416599667E-3</v>
      </c>
      <c r="G82" s="5">
        <v>1.5004241910071547E-2</v>
      </c>
    </row>
    <row r="83" spans="1:7" x14ac:dyDescent="0.35">
      <c r="A83" s="3">
        <v>44130</v>
      </c>
      <c r="B83" s="4">
        <v>13241.79</v>
      </c>
      <c r="C83" s="4">
        <v>12797.05</v>
      </c>
      <c r="D83" s="4">
        <v>13041.21</v>
      </c>
      <c r="E83" s="4">
        <v>13069.43</v>
      </c>
      <c r="F83" s="5">
        <v>-2.1639096372192412E-3</v>
      </c>
      <c r="G83" s="5">
        <v>3.2606555763362577E-2</v>
      </c>
    </row>
    <row r="84" spans="1:7" x14ac:dyDescent="0.35">
      <c r="A84" s="3">
        <v>44131</v>
      </c>
      <c r="B84" s="4">
        <v>13783.14</v>
      </c>
      <c r="C84" s="4">
        <v>13060.64</v>
      </c>
      <c r="D84" s="4">
        <v>13069.43</v>
      </c>
      <c r="E84" s="4">
        <v>13646.02</v>
      </c>
      <c r="F84" s="5">
        <v>-4.411745577274595E-2</v>
      </c>
      <c r="G84" s="5">
        <v>-2.7040777390552329E-2</v>
      </c>
    </row>
    <row r="85" spans="1:7" x14ac:dyDescent="0.35">
      <c r="A85" s="3">
        <v>44132</v>
      </c>
      <c r="B85" s="4">
        <v>13855.57</v>
      </c>
      <c r="C85" s="4">
        <v>12906.15</v>
      </c>
      <c r="D85" s="4">
        <v>13646.02</v>
      </c>
      <c r="E85" s="4">
        <v>13285.97</v>
      </c>
      <c r="F85" s="5">
        <v>2.6384982581001748E-2</v>
      </c>
      <c r="G85" s="5">
        <v>3.7078317729231758E-2</v>
      </c>
    </row>
    <row r="86" spans="1:7" x14ac:dyDescent="0.35">
      <c r="A86" s="3">
        <v>44133</v>
      </c>
      <c r="B86" s="4">
        <v>13643.6</v>
      </c>
      <c r="C86" s="4">
        <v>12985.56</v>
      </c>
      <c r="D86" s="4">
        <v>13285.97</v>
      </c>
      <c r="E86" s="4">
        <v>13462.18</v>
      </c>
      <c r="F86" s="5">
        <v>-1.3262863005109926E-2</v>
      </c>
      <c r="G86" s="5">
        <v>3.163824369164181E-3</v>
      </c>
    </row>
    <row r="87" spans="1:7" x14ac:dyDescent="0.35">
      <c r="A87" s="3">
        <v>44134</v>
      </c>
      <c r="B87" s="4">
        <v>13674.89</v>
      </c>
      <c r="C87" s="4">
        <v>13132.53</v>
      </c>
      <c r="D87" s="4">
        <v>13462.18</v>
      </c>
      <c r="E87" s="4">
        <v>13565.95</v>
      </c>
      <c r="F87" s="5">
        <v>-7.7082612177226117E-3</v>
      </c>
      <c r="G87" s="5">
        <v>1.2334210662125256E-2</v>
      </c>
    </row>
    <row r="88" spans="1:7" x14ac:dyDescent="0.35">
      <c r="A88" s="3">
        <v>44135</v>
      </c>
      <c r="B88" s="4">
        <v>14077.8</v>
      </c>
      <c r="C88" s="4">
        <v>13432.24</v>
      </c>
      <c r="D88" s="4">
        <v>13565.95</v>
      </c>
      <c r="E88" s="4">
        <v>13803.41</v>
      </c>
      <c r="F88" s="5">
        <v>-1.7504118767944776E-2</v>
      </c>
      <c r="G88" s="5">
        <v>-1.0476538823283477E-2</v>
      </c>
    </row>
    <row r="89" spans="1:7" x14ac:dyDescent="0.35">
      <c r="A89" s="3">
        <v>44136</v>
      </c>
      <c r="B89" s="4">
        <v>13897.02</v>
      </c>
      <c r="C89" s="4">
        <v>13630.22</v>
      </c>
      <c r="D89" s="4">
        <v>13803.41</v>
      </c>
      <c r="E89" s="4">
        <v>13761.72</v>
      </c>
      <c r="F89" s="5">
        <v>3.0202681801091424E-3</v>
      </c>
      <c r="G89" s="5">
        <v>-2.5803449078263707E-2</v>
      </c>
    </row>
    <row r="90" spans="1:7" x14ac:dyDescent="0.35">
      <c r="A90" s="3">
        <v>44137</v>
      </c>
      <c r="B90" s="4">
        <v>13828.48</v>
      </c>
      <c r="C90" s="4">
        <v>13221.65</v>
      </c>
      <c r="D90" s="4">
        <v>13761.72</v>
      </c>
      <c r="E90" s="4">
        <v>13571.24</v>
      </c>
      <c r="F90" s="5">
        <v>1.3841293094177143E-2</v>
      </c>
      <c r="G90" s="5">
        <v>3.3119092627599156E-2</v>
      </c>
    </row>
    <row r="91" spans="1:7" x14ac:dyDescent="0.35">
      <c r="A91" s="3">
        <v>44138</v>
      </c>
      <c r="B91" s="4">
        <v>14071.54</v>
      </c>
      <c r="C91" s="4">
        <v>13300.84</v>
      </c>
      <c r="D91" s="4">
        <v>13571.24</v>
      </c>
      <c r="E91" s="4">
        <v>14023.78</v>
      </c>
      <c r="F91" s="5">
        <v>-3.3345515958748129E-2</v>
      </c>
      <c r="G91" s="5">
        <v>-1.191314095044449E-2</v>
      </c>
    </row>
    <row r="92" spans="1:7" x14ac:dyDescent="0.35">
      <c r="A92" s="3">
        <v>44139</v>
      </c>
      <c r="B92" s="4">
        <v>14045.6</v>
      </c>
      <c r="C92" s="4">
        <v>13986.5</v>
      </c>
      <c r="D92" s="4">
        <v>14023.78</v>
      </c>
      <c r="E92" s="4">
        <v>14014.89</v>
      </c>
      <c r="F92" s="5">
        <v>6.3392323610333978E-4</v>
      </c>
      <c r="G92" s="5">
        <v>-1.5456746870001759E-4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8A9A1-41FF-429B-A3C8-2B1329AB8AA9}">
  <sheetPr codeName="Sheet19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1.012</v>
      </c>
      <c r="C2" s="4">
        <v>0.98360000000000003</v>
      </c>
      <c r="D2" s="4">
        <v>0.99960000000000004</v>
      </c>
      <c r="E2" s="4">
        <v>1</v>
      </c>
    </row>
    <row r="3" spans="1:7" x14ac:dyDescent="0.35">
      <c r="A3" s="3">
        <v>44050</v>
      </c>
      <c r="B3" s="4">
        <v>1.026</v>
      </c>
      <c r="C3" s="4">
        <v>0.97799999999999998</v>
      </c>
      <c r="D3" s="4">
        <v>1</v>
      </c>
      <c r="E3" s="4">
        <v>0.99980000000000002</v>
      </c>
      <c r="F3" s="5">
        <v>1.9999999999997797E-4</v>
      </c>
      <c r="G3" s="5">
        <v>3.9160591332523365E-2</v>
      </c>
    </row>
    <row r="4" spans="1:7" x14ac:dyDescent="0.35">
      <c r="A4" s="3">
        <v>44051</v>
      </c>
      <c r="B4" s="4">
        <v>1.0029999999999999</v>
      </c>
      <c r="C4" s="4">
        <v>0.98</v>
      </c>
      <c r="D4" s="4">
        <v>0.99980000000000002</v>
      </c>
      <c r="E4" s="4">
        <v>1</v>
      </c>
      <c r="F4" s="5">
        <v>-2.000400080015563E-4</v>
      </c>
      <c r="G4" s="5">
        <v>-4.739573728166091E-2</v>
      </c>
    </row>
    <row r="5" spans="1:7" x14ac:dyDescent="0.35">
      <c r="A5" s="3">
        <v>44052</v>
      </c>
      <c r="B5" s="4">
        <v>1.01</v>
      </c>
      <c r="C5" s="4">
        <v>0.98709999999999998</v>
      </c>
      <c r="D5" s="4">
        <v>1</v>
      </c>
      <c r="E5" s="4">
        <v>1</v>
      </c>
      <c r="F5" s="5">
        <v>0</v>
      </c>
      <c r="G5" s="5">
        <v>1.8311701378408318E-2</v>
      </c>
    </row>
    <row r="6" spans="1:7" x14ac:dyDescent="0.35">
      <c r="A6" s="3">
        <v>44053</v>
      </c>
      <c r="B6" s="4">
        <v>1.0149999999999999</v>
      </c>
      <c r="C6" s="4">
        <v>0.97829999999999995</v>
      </c>
      <c r="D6" s="4">
        <v>1</v>
      </c>
      <c r="E6" s="4">
        <v>0.99990000000000001</v>
      </c>
      <c r="F6" s="5">
        <v>9.9999999999988987E-5</v>
      </c>
      <c r="G6" s="5">
        <v>-1.3913088039356314E-2</v>
      </c>
    </row>
    <row r="7" spans="1:7" x14ac:dyDescent="0.35">
      <c r="A7" s="3">
        <v>44054</v>
      </c>
      <c r="B7" s="4">
        <v>1.048</v>
      </c>
      <c r="C7" s="4">
        <v>0.97799999999999998</v>
      </c>
      <c r="D7" s="4">
        <v>0.99990000000000001</v>
      </c>
      <c r="E7" s="4">
        <v>1</v>
      </c>
      <c r="F7" s="5">
        <v>-1.0001000100001711E-4</v>
      </c>
      <c r="G7" s="5">
        <v>4.2379520355816047E-2</v>
      </c>
    </row>
    <row r="8" spans="1:7" x14ac:dyDescent="0.35">
      <c r="A8" s="3">
        <v>44055</v>
      </c>
      <c r="B8" s="4">
        <v>1.004</v>
      </c>
      <c r="C8" s="4">
        <v>0.96660000000000001</v>
      </c>
      <c r="D8" s="4">
        <v>1</v>
      </c>
      <c r="E8" s="4">
        <v>1</v>
      </c>
      <c r="F8" s="5">
        <v>0</v>
      </c>
      <c r="G8" s="5">
        <v>-2.1771256663323912E-2</v>
      </c>
    </row>
    <row r="9" spans="1:7" x14ac:dyDescent="0.35">
      <c r="A9" s="3">
        <v>44056</v>
      </c>
      <c r="B9" s="4">
        <v>1</v>
      </c>
      <c r="C9" s="4">
        <v>0.95709999999999995</v>
      </c>
      <c r="D9" s="4">
        <v>1</v>
      </c>
      <c r="E9" s="4">
        <v>1</v>
      </c>
      <c r="F9" s="5">
        <v>0</v>
      </c>
      <c r="G9" s="5">
        <v>-9.7574834060797144E-2</v>
      </c>
    </row>
    <row r="10" spans="1:7" x14ac:dyDescent="0.35">
      <c r="A10" s="3">
        <v>44057</v>
      </c>
      <c r="B10" s="4">
        <v>1.008</v>
      </c>
      <c r="C10" s="4">
        <v>0.99009999999999998</v>
      </c>
      <c r="D10" s="4">
        <v>1</v>
      </c>
      <c r="E10" s="4">
        <v>1</v>
      </c>
      <c r="F10" s="5">
        <v>0</v>
      </c>
      <c r="G10" s="5">
        <v>-3.1861072546297331E-2</v>
      </c>
    </row>
    <row r="11" spans="1:7" x14ac:dyDescent="0.35">
      <c r="A11" s="3">
        <v>44058</v>
      </c>
      <c r="B11" s="4">
        <v>1.01</v>
      </c>
      <c r="C11" s="4">
        <v>0.98609999999999998</v>
      </c>
      <c r="D11" s="4">
        <v>1</v>
      </c>
      <c r="E11" s="4">
        <v>0.99990000000000001</v>
      </c>
      <c r="F11" s="5">
        <v>9.9999999999988987E-5</v>
      </c>
      <c r="G11" s="5">
        <v>1.3545871245809638E-2</v>
      </c>
    </row>
    <row r="12" spans="1:7" x14ac:dyDescent="0.35">
      <c r="A12" s="3">
        <v>44059</v>
      </c>
      <c r="B12" s="4">
        <v>1.0009999999999999</v>
      </c>
      <c r="C12" s="4">
        <v>0.98180000000000001</v>
      </c>
      <c r="D12" s="4">
        <v>0.99990000000000001</v>
      </c>
      <c r="E12" s="4">
        <v>1</v>
      </c>
      <c r="F12" s="5">
        <v>-1.0001000100001711E-4</v>
      </c>
      <c r="G12" s="5">
        <v>-2.9590586494672166E-3</v>
      </c>
    </row>
    <row r="13" spans="1:7" x14ac:dyDescent="0.35">
      <c r="A13" s="3">
        <v>44060</v>
      </c>
      <c r="B13" s="4">
        <v>1.0149999999999999</v>
      </c>
      <c r="C13" s="4">
        <v>0.95809999999999995</v>
      </c>
      <c r="D13" s="4">
        <v>1</v>
      </c>
      <c r="E13" s="4">
        <v>1.0009999999999999</v>
      </c>
      <c r="F13" s="5">
        <v>-9.9999999999988987E-4</v>
      </c>
      <c r="G13" s="5">
        <v>5.9698052322232353E-3</v>
      </c>
    </row>
    <row r="14" spans="1:7" x14ac:dyDescent="0.35">
      <c r="A14" s="3">
        <v>44061</v>
      </c>
      <c r="B14" s="4">
        <v>1.0369999999999999</v>
      </c>
      <c r="C14" s="4">
        <v>0.99160000000000004</v>
      </c>
      <c r="D14" s="4">
        <v>1.0009999999999999</v>
      </c>
      <c r="E14" s="4">
        <v>1</v>
      </c>
      <c r="F14" s="5">
        <v>9.9900099900085415E-4</v>
      </c>
      <c r="G14" s="5">
        <v>2.1031396373417444E-2</v>
      </c>
    </row>
    <row r="15" spans="1:7" x14ac:dyDescent="0.35">
      <c r="A15" s="3">
        <v>44062</v>
      </c>
      <c r="B15" s="4">
        <v>1.0229999999999999</v>
      </c>
      <c r="C15" s="4">
        <v>0.98629999999999995</v>
      </c>
      <c r="D15" s="4">
        <v>1</v>
      </c>
      <c r="E15" s="4">
        <v>1.0009999999999999</v>
      </c>
      <c r="F15" s="5">
        <v>-9.9999999999988987E-4</v>
      </c>
      <c r="G15" s="5">
        <v>3.3965750017764473E-2</v>
      </c>
    </row>
    <row r="16" spans="1:7" x14ac:dyDescent="0.35">
      <c r="A16" s="3">
        <v>44063</v>
      </c>
      <c r="B16" s="4">
        <v>1.002</v>
      </c>
      <c r="C16" s="4">
        <v>0.98429999999999995</v>
      </c>
      <c r="D16" s="4">
        <v>1.0009999999999999</v>
      </c>
      <c r="E16" s="4">
        <v>0.99980000000000002</v>
      </c>
      <c r="F16" s="5">
        <v>1.1988011988011138E-3</v>
      </c>
      <c r="G16" s="5">
        <v>-2.0080912100036707E-2</v>
      </c>
    </row>
    <row r="17" spans="1:7" x14ac:dyDescent="0.35">
      <c r="A17" s="3">
        <v>44064</v>
      </c>
      <c r="B17" s="4">
        <v>1.0309999999999999</v>
      </c>
      <c r="C17" s="4">
        <v>0.99750000000000005</v>
      </c>
      <c r="D17" s="4">
        <v>0.99980000000000002</v>
      </c>
      <c r="E17" s="4">
        <v>1</v>
      </c>
      <c r="F17" s="5">
        <v>-2.000400080015563E-4</v>
      </c>
      <c r="G17" s="5">
        <v>6.7445437938659758E-2</v>
      </c>
    </row>
    <row r="18" spans="1:7" x14ac:dyDescent="0.35">
      <c r="A18" s="3">
        <v>44065</v>
      </c>
      <c r="B18" s="4">
        <v>1.0009999999999999</v>
      </c>
      <c r="C18" s="4">
        <v>0.97489999999999999</v>
      </c>
      <c r="D18" s="4">
        <v>1</v>
      </c>
      <c r="E18" s="4">
        <v>0.99990000000000001</v>
      </c>
      <c r="F18" s="5">
        <v>9.9999999999988987E-5</v>
      </c>
      <c r="G18" s="5">
        <v>-1.9279344296097678E-2</v>
      </c>
    </row>
    <row r="19" spans="1:7" x14ac:dyDescent="0.35">
      <c r="A19" s="3">
        <v>44066</v>
      </c>
      <c r="B19" s="4">
        <v>1.0049999999999999</v>
      </c>
      <c r="C19" s="4">
        <v>0.98880000000000001</v>
      </c>
      <c r="D19" s="4">
        <v>0.99990000000000001</v>
      </c>
      <c r="E19" s="4">
        <v>0.99990000000000001</v>
      </c>
      <c r="F19" s="5">
        <v>0</v>
      </c>
      <c r="G19" s="5">
        <v>1.1986041571840245E-2</v>
      </c>
    </row>
    <row r="20" spans="1:7" x14ac:dyDescent="0.35">
      <c r="A20" s="3">
        <v>44067</v>
      </c>
      <c r="B20" s="4">
        <v>1.006</v>
      </c>
      <c r="C20" s="4">
        <v>0.98619999999999997</v>
      </c>
      <c r="D20" s="4">
        <v>0.99990000000000001</v>
      </c>
      <c r="E20" s="4">
        <v>1</v>
      </c>
      <c r="F20" s="5">
        <v>-1.0001000100001711E-4</v>
      </c>
      <c r="G20" s="5">
        <v>-4.4302825552825498E-2</v>
      </c>
    </row>
    <row r="21" spans="1:7" x14ac:dyDescent="0.35">
      <c r="A21" s="3">
        <v>44068</v>
      </c>
      <c r="B21" s="4">
        <v>1.0389999999999999</v>
      </c>
      <c r="C21" s="4">
        <v>0.98229999999999995</v>
      </c>
      <c r="D21" s="4">
        <v>1</v>
      </c>
      <c r="E21" s="4">
        <v>1</v>
      </c>
      <c r="F21" s="5">
        <v>0</v>
      </c>
      <c r="G21" s="5">
        <v>6.051025659877951E-2</v>
      </c>
    </row>
    <row r="22" spans="1:7" x14ac:dyDescent="0.35">
      <c r="A22" s="3">
        <v>44069</v>
      </c>
      <c r="B22" s="4">
        <v>1.0069999999999999</v>
      </c>
      <c r="C22" s="4">
        <v>0.98209999999999997</v>
      </c>
      <c r="D22" s="4">
        <v>1</v>
      </c>
      <c r="E22" s="4">
        <v>1</v>
      </c>
      <c r="F22" s="5">
        <v>0</v>
      </c>
      <c r="G22" s="5">
        <v>-6.9911827620390277E-3</v>
      </c>
    </row>
    <row r="23" spans="1:7" x14ac:dyDescent="0.35">
      <c r="A23" s="3">
        <v>44070</v>
      </c>
      <c r="B23" s="4">
        <v>1.0229999999999999</v>
      </c>
      <c r="C23" s="4">
        <v>0.98319999999999996</v>
      </c>
      <c r="D23" s="4">
        <v>1</v>
      </c>
      <c r="E23" s="4">
        <v>1</v>
      </c>
      <c r="F23" s="5">
        <v>0</v>
      </c>
      <c r="G23" s="5">
        <v>7.8493342313868952E-3</v>
      </c>
    </row>
    <row r="24" spans="1:7" x14ac:dyDescent="0.35">
      <c r="A24" s="3">
        <v>44071</v>
      </c>
      <c r="B24" s="4">
        <v>1.002</v>
      </c>
      <c r="C24" s="4">
        <v>0.97870000000000001</v>
      </c>
      <c r="D24" s="4">
        <v>1</v>
      </c>
      <c r="E24" s="4">
        <v>1</v>
      </c>
      <c r="F24" s="5">
        <v>0</v>
      </c>
      <c r="G24" s="5">
        <v>-3.2768479594767586E-2</v>
      </c>
    </row>
    <row r="25" spans="1:7" x14ac:dyDescent="0.35">
      <c r="A25" s="3">
        <v>44072</v>
      </c>
      <c r="B25" s="4">
        <v>1.01</v>
      </c>
      <c r="C25" s="4">
        <v>0.99650000000000005</v>
      </c>
      <c r="D25" s="4">
        <v>1</v>
      </c>
      <c r="E25" s="4">
        <v>1.0009999999999999</v>
      </c>
      <c r="F25" s="5">
        <v>-9.9999999999988987E-4</v>
      </c>
      <c r="G25" s="5">
        <v>-8.6211255498811479E-3</v>
      </c>
    </row>
    <row r="26" spans="1:7" x14ac:dyDescent="0.35">
      <c r="A26" s="3">
        <v>44073</v>
      </c>
      <c r="B26" s="4">
        <v>1</v>
      </c>
      <c r="C26" s="4">
        <v>0.97909999999999997</v>
      </c>
      <c r="D26" s="4">
        <v>1.0009999999999999</v>
      </c>
      <c r="E26" s="4">
        <v>1</v>
      </c>
      <c r="F26" s="5">
        <v>9.9900099900085415E-4</v>
      </c>
      <c r="G26" s="5">
        <v>-7.5773906504574606E-2</v>
      </c>
    </row>
    <row r="27" spans="1:7" x14ac:dyDescent="0.35">
      <c r="A27" s="3">
        <v>44074</v>
      </c>
      <c r="B27" s="4">
        <v>1.01</v>
      </c>
      <c r="C27" s="4">
        <v>0.99419999999999997</v>
      </c>
      <c r="D27" s="4">
        <v>1</v>
      </c>
      <c r="E27" s="4">
        <v>1</v>
      </c>
      <c r="F27" s="5">
        <v>0</v>
      </c>
      <c r="G27" s="5">
        <v>-1.1556922503378475E-2</v>
      </c>
    </row>
    <row r="28" spans="1:7" x14ac:dyDescent="0.35">
      <c r="A28" s="3">
        <v>44075</v>
      </c>
      <c r="B28" s="4">
        <v>1.0109999999999999</v>
      </c>
      <c r="C28" s="4">
        <v>0.96760000000000002</v>
      </c>
      <c r="D28" s="4">
        <v>1</v>
      </c>
      <c r="E28" s="4">
        <v>1</v>
      </c>
      <c r="F28" s="5">
        <v>0</v>
      </c>
      <c r="G28" s="5">
        <v>-9.6397475468742888E-2</v>
      </c>
    </row>
    <row r="29" spans="1:7" x14ac:dyDescent="0.35">
      <c r="A29" s="3">
        <v>44076</v>
      </c>
      <c r="B29" s="4">
        <v>1.0489999999999999</v>
      </c>
      <c r="C29" s="4">
        <v>0.98419999999999996</v>
      </c>
      <c r="D29" s="4">
        <v>1</v>
      </c>
      <c r="E29" s="4">
        <v>0.99980000000000002</v>
      </c>
      <c r="F29" s="5">
        <v>1.9999999999997797E-4</v>
      </c>
      <c r="G29" s="5">
        <v>7.5967982520641186E-2</v>
      </c>
    </row>
    <row r="30" spans="1:7" x14ac:dyDescent="0.35">
      <c r="A30" s="3">
        <v>44077</v>
      </c>
      <c r="B30" s="4">
        <v>1.1279999999999999</v>
      </c>
      <c r="C30" s="4">
        <v>0.98550000000000004</v>
      </c>
      <c r="D30" s="4">
        <v>0.99980000000000002</v>
      </c>
      <c r="E30" s="4">
        <v>1.0009999999999999</v>
      </c>
      <c r="F30" s="5">
        <v>-1.2002400480095599E-3</v>
      </c>
      <c r="G30" s="5">
        <v>0.1304367596571403</v>
      </c>
    </row>
    <row r="31" spans="1:7" x14ac:dyDescent="0.35">
      <c r="A31" s="3">
        <v>44078</v>
      </c>
      <c r="B31" s="4">
        <v>1.0169999999999999</v>
      </c>
      <c r="C31" s="4">
        <v>0.95820000000000005</v>
      </c>
      <c r="D31" s="4">
        <v>1.0009999999999999</v>
      </c>
      <c r="E31" s="4">
        <v>1.0009999999999999</v>
      </c>
      <c r="F31" s="5">
        <v>0</v>
      </c>
      <c r="G31" s="5">
        <v>-9.0205511687497797E-3</v>
      </c>
    </row>
    <row r="32" spans="1:7" x14ac:dyDescent="0.35">
      <c r="A32" s="3">
        <v>44079</v>
      </c>
      <c r="B32" s="4">
        <v>1.177</v>
      </c>
      <c r="C32" s="4">
        <v>0.92720000000000002</v>
      </c>
      <c r="D32" s="4">
        <v>1.0009999999999999</v>
      </c>
      <c r="E32" s="4">
        <v>0.99970000000000003</v>
      </c>
      <c r="F32" s="5">
        <v>1.2987012987011326E-3</v>
      </c>
      <c r="G32" s="5">
        <v>0.13130004405172191</v>
      </c>
    </row>
    <row r="33" spans="1:7" x14ac:dyDescent="0.35">
      <c r="A33" s="3">
        <v>44080</v>
      </c>
      <c r="B33" s="4">
        <v>1.022</v>
      </c>
      <c r="C33" s="4">
        <v>0.89880000000000004</v>
      </c>
      <c r="D33" s="4">
        <v>0.99970000000000003</v>
      </c>
      <c r="E33" s="4">
        <v>1.0009999999999999</v>
      </c>
      <c r="F33" s="5">
        <v>-1.3003901170349774E-3</v>
      </c>
      <c r="G33" s="5">
        <v>-5.2052261066698469E-2</v>
      </c>
    </row>
    <row r="34" spans="1:7" x14ac:dyDescent="0.35">
      <c r="A34" s="3">
        <v>44081</v>
      </c>
      <c r="B34" s="4">
        <v>1.004</v>
      </c>
      <c r="C34" s="4">
        <v>0.95389999999999997</v>
      </c>
      <c r="D34" s="4">
        <v>1.0009999999999999</v>
      </c>
      <c r="E34" s="4">
        <v>1.0009999999999999</v>
      </c>
      <c r="F34" s="5">
        <v>0</v>
      </c>
      <c r="G34" s="5">
        <v>-2.8637046698234414E-3</v>
      </c>
    </row>
    <row r="35" spans="1:7" x14ac:dyDescent="0.35">
      <c r="A35" s="3">
        <v>44082</v>
      </c>
      <c r="B35" s="4">
        <v>1.032</v>
      </c>
      <c r="C35" s="4">
        <v>0.97360000000000002</v>
      </c>
      <c r="D35" s="4">
        <v>1.0009999999999999</v>
      </c>
      <c r="E35" s="4">
        <v>1.0009999999999999</v>
      </c>
      <c r="F35" s="5">
        <v>0</v>
      </c>
      <c r="G35" s="5">
        <v>4.5942889454339886E-2</v>
      </c>
    </row>
    <row r="36" spans="1:7" x14ac:dyDescent="0.35">
      <c r="A36" s="3">
        <v>44083</v>
      </c>
      <c r="B36" s="4">
        <v>1.012</v>
      </c>
      <c r="C36" s="4">
        <v>0.97709999999999997</v>
      </c>
      <c r="D36" s="4">
        <v>1.0009999999999999</v>
      </c>
      <c r="E36" s="4">
        <v>1.0009999999999999</v>
      </c>
      <c r="F36" s="5">
        <v>0</v>
      </c>
      <c r="G36" s="5">
        <v>-4.0598607201066894E-2</v>
      </c>
    </row>
    <row r="37" spans="1:7" x14ac:dyDescent="0.35">
      <c r="A37" s="3">
        <v>44084</v>
      </c>
      <c r="B37" s="4">
        <v>1.026</v>
      </c>
      <c r="C37" s="4">
        <v>0.95220000000000005</v>
      </c>
      <c r="D37" s="4">
        <v>0.99960000000000004</v>
      </c>
      <c r="E37" s="4">
        <v>1</v>
      </c>
      <c r="F37" s="5">
        <v>9.9900099900085415E-4</v>
      </c>
      <c r="G37" s="5">
        <v>-4.8241492239783579E-2</v>
      </c>
    </row>
    <row r="38" spans="1:7" x14ac:dyDescent="0.35">
      <c r="A38" s="3">
        <v>44085</v>
      </c>
      <c r="B38" s="4">
        <v>1.0009999999999999</v>
      </c>
      <c r="C38" s="4">
        <v>0.98250000000000004</v>
      </c>
      <c r="D38" s="4">
        <v>1</v>
      </c>
      <c r="E38" s="4">
        <v>1</v>
      </c>
      <c r="F38" s="5">
        <v>0</v>
      </c>
      <c r="G38" s="5">
        <v>-1.6028688635931543E-2</v>
      </c>
    </row>
    <row r="39" spans="1:7" x14ac:dyDescent="0.35">
      <c r="A39" s="3">
        <v>44086</v>
      </c>
      <c r="B39" s="4">
        <v>1.004</v>
      </c>
      <c r="C39" s="4">
        <v>0.98440000000000005</v>
      </c>
      <c r="D39" s="4">
        <v>1</v>
      </c>
      <c r="E39" s="4">
        <v>1</v>
      </c>
      <c r="F39" s="5">
        <v>0</v>
      </c>
      <c r="G39" s="5">
        <v>-3.7567849407738274E-2</v>
      </c>
    </row>
    <row r="40" spans="1:7" x14ac:dyDescent="0.35">
      <c r="A40" s="3">
        <v>44087</v>
      </c>
      <c r="B40" s="4">
        <v>1.024</v>
      </c>
      <c r="C40" s="4">
        <v>0.99</v>
      </c>
      <c r="D40" s="4">
        <v>1</v>
      </c>
      <c r="E40" s="4">
        <v>1</v>
      </c>
      <c r="F40" s="5">
        <v>0</v>
      </c>
      <c r="G40" s="5">
        <v>5.6076693124420318E-2</v>
      </c>
    </row>
    <row r="41" spans="1:7" x14ac:dyDescent="0.35">
      <c r="A41" s="3">
        <v>44088</v>
      </c>
      <c r="B41" s="4">
        <v>1.0069999999999999</v>
      </c>
      <c r="C41" s="4">
        <v>0.96109999999999995</v>
      </c>
      <c r="D41" s="4">
        <v>1</v>
      </c>
      <c r="E41" s="4">
        <v>1</v>
      </c>
      <c r="F41" s="5">
        <v>0</v>
      </c>
      <c r="G41" s="5">
        <v>-2.9977066724909962E-2</v>
      </c>
    </row>
    <row r="42" spans="1:7" x14ac:dyDescent="0.35">
      <c r="A42" s="3">
        <v>44089</v>
      </c>
      <c r="B42" s="4">
        <v>1.014</v>
      </c>
      <c r="C42" s="4">
        <v>0.98570000000000002</v>
      </c>
      <c r="D42" s="4">
        <v>1</v>
      </c>
      <c r="E42" s="4">
        <v>1</v>
      </c>
      <c r="F42" s="5">
        <v>0</v>
      </c>
      <c r="G42" s="5">
        <v>3.4724062980437842E-2</v>
      </c>
    </row>
    <row r="43" spans="1:7" x14ac:dyDescent="0.35">
      <c r="A43" s="3">
        <v>44090</v>
      </c>
      <c r="B43" s="4">
        <v>1.012</v>
      </c>
      <c r="C43" s="4">
        <v>0.97370000000000001</v>
      </c>
      <c r="D43" s="4">
        <v>1</v>
      </c>
      <c r="E43" s="4">
        <v>0.99990000000000001</v>
      </c>
      <c r="F43" s="5">
        <v>9.9999999999988987E-5</v>
      </c>
      <c r="G43" s="5">
        <v>-2.5538224956060951E-3</v>
      </c>
    </row>
    <row r="44" spans="1:7" x14ac:dyDescent="0.35">
      <c r="A44" s="3">
        <v>44091</v>
      </c>
      <c r="B44" s="4">
        <v>1.012</v>
      </c>
      <c r="C44" s="4">
        <v>0.93359999999999999</v>
      </c>
      <c r="D44" s="4">
        <v>1.0009999999999999</v>
      </c>
      <c r="E44" s="4">
        <v>1</v>
      </c>
      <c r="F44" s="5">
        <v>-1.0001000100001711E-4</v>
      </c>
      <c r="G44" s="5">
        <v>-6.6969788271385333E-2</v>
      </c>
    </row>
    <row r="45" spans="1:7" x14ac:dyDescent="0.35">
      <c r="A45" s="3">
        <v>44092</v>
      </c>
      <c r="B45" s="4">
        <v>1.01</v>
      </c>
      <c r="C45" s="4">
        <v>0.99009999999999998</v>
      </c>
      <c r="D45" s="4">
        <v>1.0009999999999999</v>
      </c>
      <c r="E45" s="4">
        <v>1.0009999999999999</v>
      </c>
      <c r="F45" s="5">
        <v>-9.9999999999988987E-4</v>
      </c>
      <c r="G45" s="5">
        <v>1.3015351440160194E-2</v>
      </c>
    </row>
    <row r="46" spans="1:7" x14ac:dyDescent="0.35">
      <c r="A46" s="3">
        <v>44093</v>
      </c>
      <c r="B46" s="4">
        <v>1.0089999999999999</v>
      </c>
      <c r="C46" s="4">
        <v>0.98380000000000001</v>
      </c>
      <c r="D46" s="4">
        <v>1.0009999999999999</v>
      </c>
      <c r="E46" s="4">
        <v>1.0009999999999999</v>
      </c>
      <c r="F46" s="5">
        <v>0</v>
      </c>
      <c r="G46" s="5">
        <v>-2.0807865373109191E-3</v>
      </c>
    </row>
    <row r="47" spans="1:7" x14ac:dyDescent="0.35">
      <c r="A47" s="3">
        <v>44094</v>
      </c>
      <c r="B47" s="4">
        <v>1.0149999999999999</v>
      </c>
      <c r="C47" s="4">
        <v>0.98709999999999998</v>
      </c>
      <c r="D47" s="4">
        <v>1.0009999999999999</v>
      </c>
      <c r="E47" s="4">
        <v>1.0009999999999999</v>
      </c>
      <c r="F47" s="5">
        <v>0</v>
      </c>
      <c r="G47" s="5">
        <v>3.6987048044228699E-2</v>
      </c>
    </row>
    <row r="48" spans="1:7" x14ac:dyDescent="0.35">
      <c r="A48" s="3">
        <v>44095</v>
      </c>
      <c r="B48" s="4">
        <v>1.056</v>
      </c>
      <c r="C48" s="4">
        <v>0.99139999999999995</v>
      </c>
      <c r="D48" s="4">
        <v>1.0009999999999999</v>
      </c>
      <c r="E48" s="4">
        <v>1.0009999999999999</v>
      </c>
      <c r="F48" s="5">
        <v>0</v>
      </c>
      <c r="G48" s="5">
        <v>8.3095250929869025E-2</v>
      </c>
    </row>
    <row r="49" spans="1:7" x14ac:dyDescent="0.35">
      <c r="A49" s="3">
        <v>44096</v>
      </c>
      <c r="B49" s="4">
        <v>1.004</v>
      </c>
      <c r="C49" s="4">
        <v>0.98440000000000005</v>
      </c>
      <c r="D49" s="4">
        <v>1.0009999999999999</v>
      </c>
      <c r="E49" s="4">
        <v>1</v>
      </c>
      <c r="F49" s="5">
        <v>9.9900099900085415E-4</v>
      </c>
      <c r="G49" s="5">
        <v>-1.1934507187160159E-2</v>
      </c>
    </row>
    <row r="50" spans="1:7" x14ac:dyDescent="0.35">
      <c r="A50" s="3">
        <v>44097</v>
      </c>
      <c r="B50" s="4">
        <v>1.0309999999999999</v>
      </c>
      <c r="C50" s="4">
        <v>0.99399999999999999</v>
      </c>
      <c r="D50" s="4">
        <v>1</v>
      </c>
      <c r="E50" s="4">
        <v>1.0009999999999999</v>
      </c>
      <c r="F50" s="5">
        <v>-9.9999999999988987E-4</v>
      </c>
      <c r="G50" s="5">
        <v>6.989106753812635E-2</v>
      </c>
    </row>
    <row r="51" spans="1:7" x14ac:dyDescent="0.35">
      <c r="A51" s="3">
        <v>44098</v>
      </c>
      <c r="B51" s="4">
        <v>1.0049999999999999</v>
      </c>
      <c r="C51" s="4">
        <v>0.95130000000000003</v>
      </c>
      <c r="D51" s="4">
        <v>1.0009999999999999</v>
      </c>
      <c r="E51" s="4">
        <v>1.0009999999999999</v>
      </c>
      <c r="F51" s="5">
        <v>0</v>
      </c>
      <c r="G51" s="5">
        <v>-9.0539991879821313E-2</v>
      </c>
    </row>
    <row r="52" spans="1:7" x14ac:dyDescent="0.35">
      <c r="A52" s="3">
        <v>44099</v>
      </c>
      <c r="B52" s="4">
        <v>1.0069999999999999</v>
      </c>
      <c r="C52" s="4">
        <v>0.9879</v>
      </c>
      <c r="D52" s="4">
        <v>1.0009999999999999</v>
      </c>
      <c r="E52" s="4">
        <v>1</v>
      </c>
      <c r="F52" s="5">
        <v>9.9900099900085415E-4</v>
      </c>
      <c r="G52" s="5">
        <v>-8.133340970273073E-3</v>
      </c>
    </row>
    <row r="53" spans="1:7" x14ac:dyDescent="0.35">
      <c r="A53" s="3">
        <v>44100</v>
      </c>
      <c r="B53" s="4">
        <v>1.0089999999999999</v>
      </c>
      <c r="C53" s="4">
        <v>0.99329999999999996</v>
      </c>
      <c r="D53" s="4">
        <v>1</v>
      </c>
      <c r="E53" s="4">
        <v>1</v>
      </c>
      <c r="F53" s="5">
        <v>0</v>
      </c>
      <c r="G53" s="5">
        <v>-6.2780523833874113E-3</v>
      </c>
    </row>
    <row r="54" spans="1:7" x14ac:dyDescent="0.35">
      <c r="A54" s="3">
        <v>44101</v>
      </c>
      <c r="B54" s="4">
        <v>1.0029999999999999</v>
      </c>
      <c r="C54" s="4">
        <v>0.98470000000000002</v>
      </c>
      <c r="D54" s="4">
        <v>1</v>
      </c>
      <c r="E54" s="4">
        <v>1</v>
      </c>
      <c r="F54" s="5">
        <v>0</v>
      </c>
      <c r="G54" s="5">
        <v>-9.8805860599044948E-3</v>
      </c>
    </row>
    <row r="55" spans="1:7" x14ac:dyDescent="0.35">
      <c r="A55" s="3">
        <v>44102</v>
      </c>
      <c r="B55" s="4">
        <v>1.024</v>
      </c>
      <c r="C55" s="4">
        <v>0.99590000000000001</v>
      </c>
      <c r="D55" s="4">
        <v>1</v>
      </c>
      <c r="E55" s="4">
        <v>1.0009999999999999</v>
      </c>
      <c r="F55" s="5">
        <v>-9.9999999999988987E-4</v>
      </c>
      <c r="G55" s="5">
        <v>1.0398904201492809E-2</v>
      </c>
    </row>
    <row r="56" spans="1:7" x14ac:dyDescent="0.35">
      <c r="A56" s="3">
        <v>44103</v>
      </c>
      <c r="B56" s="4">
        <v>1.002</v>
      </c>
      <c r="C56" s="4">
        <v>0.98170000000000002</v>
      </c>
      <c r="D56" s="4">
        <v>1.0009999999999999</v>
      </c>
      <c r="E56" s="4">
        <v>1</v>
      </c>
      <c r="F56" s="5">
        <v>9.9900099900085415E-4</v>
      </c>
      <c r="G56" s="5">
        <v>-1.6694443659783786E-2</v>
      </c>
    </row>
    <row r="57" spans="1:7" x14ac:dyDescent="0.35">
      <c r="A57" s="3">
        <v>44104</v>
      </c>
      <c r="B57" s="4">
        <v>1.0069999999999999</v>
      </c>
      <c r="C57" s="4">
        <v>0.98980000000000001</v>
      </c>
      <c r="D57" s="4">
        <v>1</v>
      </c>
      <c r="E57" s="4">
        <v>1</v>
      </c>
      <c r="F57" s="5">
        <v>0</v>
      </c>
      <c r="G57" s="5">
        <v>2.7783951989335254E-4</v>
      </c>
    </row>
    <row r="58" spans="1:7" x14ac:dyDescent="0.35">
      <c r="A58" s="3">
        <v>44105</v>
      </c>
      <c r="B58" s="4">
        <v>1.0289999999999999</v>
      </c>
      <c r="C58" s="4">
        <v>0.98480000000000001</v>
      </c>
      <c r="D58" s="4">
        <v>1</v>
      </c>
      <c r="E58" s="4">
        <v>1.0009999999999999</v>
      </c>
      <c r="F58" s="5">
        <v>-9.9999999999988987E-4</v>
      </c>
      <c r="G58" s="5">
        <v>1.8370296259240804E-2</v>
      </c>
    </row>
    <row r="59" spans="1:7" x14ac:dyDescent="0.35">
      <c r="A59" s="3">
        <v>44106</v>
      </c>
      <c r="B59" s="4">
        <v>1.0089999999999999</v>
      </c>
      <c r="C59" s="4">
        <v>0.98240000000000005</v>
      </c>
      <c r="D59" s="4">
        <v>1.0009999999999999</v>
      </c>
      <c r="E59" s="4">
        <v>1</v>
      </c>
      <c r="F59" s="5">
        <v>9.9900099900085415E-4</v>
      </c>
      <c r="G59" s="5">
        <v>2.0894085671413598E-2</v>
      </c>
    </row>
    <row r="60" spans="1:7" x14ac:dyDescent="0.35">
      <c r="A60" s="3">
        <v>44107</v>
      </c>
      <c r="B60" s="4">
        <v>1.0049999999999999</v>
      </c>
      <c r="C60" s="4">
        <v>0.996</v>
      </c>
      <c r="D60" s="4">
        <v>1</v>
      </c>
      <c r="E60" s="4">
        <v>1</v>
      </c>
      <c r="F60" s="5">
        <v>0</v>
      </c>
      <c r="G60" s="5">
        <v>-1.4168811265651282E-3</v>
      </c>
    </row>
    <row r="61" spans="1:7" x14ac:dyDescent="0.35">
      <c r="A61" s="3">
        <v>44108</v>
      </c>
      <c r="B61" s="4">
        <v>1.002</v>
      </c>
      <c r="C61" s="4">
        <v>0.98699999999999999</v>
      </c>
      <c r="D61" s="4">
        <v>1</v>
      </c>
      <c r="E61" s="4">
        <v>1</v>
      </c>
      <c r="F61" s="5">
        <v>0</v>
      </c>
      <c r="G61" s="5">
        <v>-1.816239316239332E-2</v>
      </c>
    </row>
    <row r="62" spans="1:7" x14ac:dyDescent="0.35">
      <c r="A62" s="3">
        <v>44109</v>
      </c>
      <c r="B62" s="4">
        <v>1.0009999999999999</v>
      </c>
      <c r="C62" s="4">
        <v>0.98509999999999998</v>
      </c>
      <c r="D62" s="4">
        <v>1</v>
      </c>
      <c r="E62" s="4">
        <v>1.0009999999999999</v>
      </c>
      <c r="F62" s="5">
        <v>-9.9999999999988987E-4</v>
      </c>
      <c r="G62" s="5">
        <v>-3.2613936076684169E-3</v>
      </c>
    </row>
    <row r="63" spans="1:7" x14ac:dyDescent="0.35">
      <c r="A63" s="3">
        <v>44110</v>
      </c>
      <c r="B63" s="4">
        <v>1.0189999999999999</v>
      </c>
      <c r="C63" s="4">
        <v>0.99370000000000003</v>
      </c>
      <c r="D63" s="4">
        <v>1.0009999999999999</v>
      </c>
      <c r="E63" s="4">
        <v>1</v>
      </c>
      <c r="F63" s="5">
        <v>9.9900099900085415E-4</v>
      </c>
      <c r="G63" s="5">
        <v>3.6493668023518722E-2</v>
      </c>
    </row>
    <row r="64" spans="1:7" x14ac:dyDescent="0.35">
      <c r="A64" s="3">
        <v>44111</v>
      </c>
      <c r="B64" s="4">
        <v>1</v>
      </c>
      <c r="C64" s="4">
        <v>0.98870000000000002</v>
      </c>
      <c r="D64" s="4">
        <v>1</v>
      </c>
      <c r="E64" s="4">
        <v>0.99980000000000002</v>
      </c>
      <c r="F64" s="5">
        <v>1.9999999999997797E-4</v>
      </c>
      <c r="G64" s="5">
        <v>-3.1098723778788528E-3</v>
      </c>
    </row>
    <row r="65" spans="1:7" x14ac:dyDescent="0.35">
      <c r="A65" s="3">
        <v>44112</v>
      </c>
      <c r="B65" s="4">
        <v>1.0029999999999999</v>
      </c>
      <c r="C65" s="4">
        <v>0.96489999999999998</v>
      </c>
      <c r="D65" s="4">
        <v>0.99980000000000002</v>
      </c>
      <c r="E65" s="4">
        <v>1</v>
      </c>
      <c r="F65" s="5">
        <v>-2.000400080015563E-4</v>
      </c>
      <c r="G65" s="5">
        <v>-2.7170892925038714E-2</v>
      </c>
    </row>
    <row r="66" spans="1:7" x14ac:dyDescent="0.35">
      <c r="A66" s="3">
        <v>44113</v>
      </c>
      <c r="B66" s="4">
        <v>1.0049999999999999</v>
      </c>
      <c r="C66" s="4">
        <v>0.98029999999999995</v>
      </c>
      <c r="D66" s="4">
        <v>1</v>
      </c>
      <c r="E66" s="4">
        <v>1</v>
      </c>
      <c r="F66" s="5">
        <v>0</v>
      </c>
      <c r="G66" s="5">
        <v>-4.0461275626423765E-2</v>
      </c>
    </row>
    <row r="67" spans="1:7" x14ac:dyDescent="0.35">
      <c r="A67" s="3">
        <v>44114</v>
      </c>
      <c r="B67" s="4">
        <v>1.016</v>
      </c>
      <c r="C67" s="4">
        <v>0.97829999999999995</v>
      </c>
      <c r="D67" s="4">
        <v>1</v>
      </c>
      <c r="E67" s="4">
        <v>0.99980000000000002</v>
      </c>
      <c r="F67" s="5">
        <v>1.9999999999997797E-4</v>
      </c>
      <c r="G67" s="5">
        <v>-1.4969486330423276E-2</v>
      </c>
    </row>
    <row r="68" spans="1:7" x14ac:dyDescent="0.35">
      <c r="A68" s="3">
        <v>44115</v>
      </c>
      <c r="B68" s="4">
        <v>1.0049999999999999</v>
      </c>
      <c r="C68" s="4">
        <v>0.99209999999999998</v>
      </c>
      <c r="D68" s="4">
        <v>0.99980000000000002</v>
      </c>
      <c r="E68" s="4">
        <v>1</v>
      </c>
      <c r="F68" s="5">
        <v>-2.000400080015563E-4</v>
      </c>
      <c r="G68" s="5">
        <v>-9.4100517687663032E-3</v>
      </c>
    </row>
    <row r="69" spans="1:7" x14ac:dyDescent="0.35">
      <c r="A69" s="3">
        <v>44116</v>
      </c>
      <c r="B69" s="4">
        <v>1.016</v>
      </c>
      <c r="C69" s="4">
        <v>0.97250000000000003</v>
      </c>
      <c r="D69" s="4">
        <v>1</v>
      </c>
      <c r="E69" s="4">
        <v>0.99980000000000002</v>
      </c>
      <c r="F69" s="5">
        <v>1.9999999999997797E-4</v>
      </c>
      <c r="G69" s="5">
        <v>-3.3496273739882954E-2</v>
      </c>
    </row>
    <row r="70" spans="1:7" x14ac:dyDescent="0.35">
      <c r="A70" s="3">
        <v>44117</v>
      </c>
      <c r="B70" s="4">
        <v>1.012</v>
      </c>
      <c r="C70" s="4">
        <v>0.99029999999999996</v>
      </c>
      <c r="D70" s="4">
        <v>0.99980000000000002</v>
      </c>
      <c r="E70" s="4">
        <v>1</v>
      </c>
      <c r="F70" s="5">
        <v>-2.000400080015563E-4</v>
      </c>
      <c r="G70" s="5">
        <v>1.421519216355227E-2</v>
      </c>
    </row>
    <row r="71" spans="1:7" x14ac:dyDescent="0.35">
      <c r="A71" s="3">
        <v>44118</v>
      </c>
      <c r="B71" s="4">
        <v>1.0109999999999999</v>
      </c>
      <c r="C71" s="4">
        <v>0.98919999999999997</v>
      </c>
      <c r="D71" s="4">
        <v>1</v>
      </c>
      <c r="E71" s="4">
        <v>1.0009999999999999</v>
      </c>
      <c r="F71" s="5">
        <v>-9.9999999999988987E-4</v>
      </c>
      <c r="G71" s="5">
        <v>6.0302561547941336E-3</v>
      </c>
    </row>
    <row r="72" spans="1:7" x14ac:dyDescent="0.35">
      <c r="A72" s="3">
        <v>44119</v>
      </c>
      <c r="B72" s="4">
        <v>1.0089999999999999</v>
      </c>
      <c r="C72" s="4">
        <v>0.97950000000000004</v>
      </c>
      <c r="D72" s="4">
        <v>1.0009999999999999</v>
      </c>
      <c r="E72" s="4">
        <v>1</v>
      </c>
      <c r="F72" s="5">
        <v>9.9900099900085415E-4</v>
      </c>
      <c r="G72" s="5">
        <v>3.7192371607185359E-3</v>
      </c>
    </row>
    <row r="73" spans="1:7" x14ac:dyDescent="0.35">
      <c r="A73" s="3">
        <v>44120</v>
      </c>
      <c r="B73" s="4">
        <v>1.0189999999999999</v>
      </c>
      <c r="C73" s="4">
        <v>0.99109999999999998</v>
      </c>
      <c r="D73" s="4">
        <v>1</v>
      </c>
      <c r="E73" s="4">
        <v>1</v>
      </c>
      <c r="F73" s="5">
        <v>0</v>
      </c>
      <c r="G73" s="5">
        <v>3.2088959491660018E-2</v>
      </c>
    </row>
    <row r="74" spans="1:7" x14ac:dyDescent="0.35">
      <c r="A74" s="3">
        <v>44121</v>
      </c>
      <c r="B74" s="4">
        <v>1.004</v>
      </c>
      <c r="C74" s="4">
        <v>0.99139999999999995</v>
      </c>
      <c r="D74" s="4">
        <v>1</v>
      </c>
      <c r="E74" s="4">
        <v>0.99990000000000001</v>
      </c>
      <c r="F74" s="5">
        <v>9.9999999999988987E-5</v>
      </c>
      <c r="G74" s="5">
        <v>-8.3976147491657827E-3</v>
      </c>
    </row>
    <row r="75" spans="1:7" x14ac:dyDescent="0.35">
      <c r="A75" s="3">
        <v>44122</v>
      </c>
      <c r="B75" s="4">
        <v>1</v>
      </c>
      <c r="C75" s="4">
        <v>0.98670000000000002</v>
      </c>
      <c r="D75" s="4">
        <v>0.99990000000000001</v>
      </c>
      <c r="E75" s="4">
        <v>1</v>
      </c>
      <c r="F75" s="5">
        <v>-1.0001000100001711E-4</v>
      </c>
      <c r="G75" s="5">
        <v>-2.6556354265563575E-2</v>
      </c>
    </row>
    <row r="76" spans="1:7" x14ac:dyDescent="0.35">
      <c r="A76" s="3">
        <v>44123</v>
      </c>
      <c r="B76" s="4">
        <v>1.006</v>
      </c>
      <c r="C76" s="4">
        <v>0.97130000000000005</v>
      </c>
      <c r="D76" s="4">
        <v>1</v>
      </c>
      <c r="E76" s="4">
        <v>1</v>
      </c>
      <c r="F76" s="5">
        <v>0</v>
      </c>
      <c r="G76" s="5">
        <v>-2.5631540006343378E-3</v>
      </c>
    </row>
    <row r="77" spans="1:7" x14ac:dyDescent="0.35">
      <c r="A77" s="3">
        <v>44124</v>
      </c>
      <c r="B77" s="4">
        <v>1.01</v>
      </c>
      <c r="C77" s="4">
        <v>0.98029999999999995</v>
      </c>
      <c r="D77" s="4">
        <v>1</v>
      </c>
      <c r="E77" s="4">
        <v>0.99990000000000001</v>
      </c>
      <c r="F77" s="5">
        <v>9.9999999999988987E-5</v>
      </c>
      <c r="G77" s="5">
        <v>2.8122611422998878E-2</v>
      </c>
    </row>
    <row r="78" spans="1:7" x14ac:dyDescent="0.35">
      <c r="A78" s="3">
        <v>44125</v>
      </c>
      <c r="B78" s="4">
        <v>1.032</v>
      </c>
      <c r="C78" s="4">
        <v>0.92820000000000003</v>
      </c>
      <c r="D78" s="4">
        <v>0.99990000000000001</v>
      </c>
      <c r="E78" s="4">
        <v>0.99929999999999997</v>
      </c>
      <c r="F78" s="5">
        <v>6.0006000600065779E-4</v>
      </c>
      <c r="G78" s="5">
        <v>-6.1615230243531993E-2</v>
      </c>
    </row>
    <row r="79" spans="1:7" x14ac:dyDescent="0.35">
      <c r="A79" s="3">
        <v>44126</v>
      </c>
      <c r="B79" s="4">
        <v>1.016</v>
      </c>
      <c r="C79" s="4">
        <v>0.97799999999999998</v>
      </c>
      <c r="D79" s="4">
        <v>0.99929999999999997</v>
      </c>
      <c r="E79" s="4">
        <v>1</v>
      </c>
      <c r="F79" s="5">
        <v>-7.0049034324037862E-4</v>
      </c>
      <c r="G79" s="5">
        <v>-5.8856588157155221E-2</v>
      </c>
    </row>
    <row r="80" spans="1:7" x14ac:dyDescent="0.35">
      <c r="A80" s="3">
        <v>44127</v>
      </c>
      <c r="B80" s="4">
        <v>1.0069999999999999</v>
      </c>
      <c r="C80" s="4">
        <v>0.9839</v>
      </c>
      <c r="D80" s="4">
        <v>1</v>
      </c>
      <c r="E80" s="4">
        <v>0.99970000000000003</v>
      </c>
      <c r="F80" s="5">
        <v>2.9999999999996696E-4</v>
      </c>
      <c r="G80" s="5">
        <v>1.189384800965021E-2</v>
      </c>
    </row>
    <row r="81" spans="1:7" x14ac:dyDescent="0.35">
      <c r="A81" s="3">
        <v>44128</v>
      </c>
      <c r="B81" s="4">
        <v>1.0029999999999999</v>
      </c>
      <c r="C81" s="4">
        <v>0.98170000000000002</v>
      </c>
      <c r="D81" s="4">
        <v>0.99970000000000003</v>
      </c>
      <c r="E81" s="4">
        <v>1</v>
      </c>
      <c r="F81" s="5">
        <v>-3.0009002700803755E-4</v>
      </c>
      <c r="G81" s="5">
        <v>-7.275923529555417E-3</v>
      </c>
    </row>
    <row r="82" spans="1:7" x14ac:dyDescent="0.35">
      <c r="A82" s="3">
        <v>44129</v>
      </c>
      <c r="B82" s="4">
        <v>1.0229999999999999</v>
      </c>
      <c r="C82" s="4">
        <v>0.9899</v>
      </c>
      <c r="D82" s="4">
        <v>1</v>
      </c>
      <c r="E82" s="4">
        <v>0.99990000000000001</v>
      </c>
      <c r="F82" s="5">
        <v>9.9999999999988987E-5</v>
      </c>
      <c r="G82" s="5">
        <v>1.5004241910071547E-2</v>
      </c>
    </row>
    <row r="83" spans="1:7" x14ac:dyDescent="0.35">
      <c r="A83" s="3">
        <v>44130</v>
      </c>
      <c r="B83" s="4">
        <v>1.0129999999999999</v>
      </c>
      <c r="C83" s="4">
        <v>0.97870000000000001</v>
      </c>
      <c r="D83" s="4">
        <v>0.99990000000000001</v>
      </c>
      <c r="E83" s="4">
        <v>0.99950000000000006</v>
      </c>
      <c r="F83" s="5">
        <v>4.0004000400040152E-4</v>
      </c>
      <c r="G83" s="5">
        <v>3.2606555763362577E-2</v>
      </c>
    </row>
    <row r="84" spans="1:7" x14ac:dyDescent="0.35">
      <c r="A84" s="3">
        <v>44131</v>
      </c>
      <c r="B84" s="4">
        <v>1.01</v>
      </c>
      <c r="C84" s="4">
        <v>0.95669999999999999</v>
      </c>
      <c r="D84" s="4">
        <v>0.99950000000000006</v>
      </c>
      <c r="E84" s="4">
        <v>0.99960000000000004</v>
      </c>
      <c r="F84" s="5">
        <v>-1.0005002501256577E-4</v>
      </c>
      <c r="G84" s="5">
        <v>-2.7040777390552329E-2</v>
      </c>
    </row>
    <row r="85" spans="1:7" x14ac:dyDescent="0.35">
      <c r="A85" s="3">
        <v>44132</v>
      </c>
      <c r="B85" s="4">
        <v>1.0429999999999999</v>
      </c>
      <c r="C85" s="4">
        <v>0.97170000000000001</v>
      </c>
      <c r="D85" s="4">
        <v>0.99960000000000004</v>
      </c>
      <c r="E85" s="4">
        <v>1</v>
      </c>
      <c r="F85" s="5">
        <v>-4.0016006402554538E-4</v>
      </c>
      <c r="G85" s="5">
        <v>3.7078317729231758E-2</v>
      </c>
    </row>
    <row r="86" spans="1:7" x14ac:dyDescent="0.35">
      <c r="A86" s="3">
        <v>44133</v>
      </c>
      <c r="B86" s="4">
        <v>1.014</v>
      </c>
      <c r="C86" s="4">
        <v>0.9647</v>
      </c>
      <c r="D86" s="4">
        <v>1</v>
      </c>
      <c r="E86" s="4">
        <v>1</v>
      </c>
      <c r="F86" s="5">
        <v>0</v>
      </c>
      <c r="G86" s="5">
        <v>3.163824369164181E-3</v>
      </c>
    </row>
    <row r="87" spans="1:7" x14ac:dyDescent="0.35">
      <c r="A87" s="3">
        <v>44134</v>
      </c>
      <c r="B87" s="4">
        <v>1.008</v>
      </c>
      <c r="C87" s="4">
        <v>0.96809999999999996</v>
      </c>
      <c r="D87" s="4">
        <v>1</v>
      </c>
      <c r="E87" s="4">
        <v>1</v>
      </c>
      <c r="F87" s="5">
        <v>0</v>
      </c>
      <c r="G87" s="5">
        <v>1.2334210662125256E-2</v>
      </c>
    </row>
    <row r="88" spans="1:7" x14ac:dyDescent="0.35">
      <c r="A88" s="3">
        <v>44135</v>
      </c>
      <c r="B88" s="4">
        <v>1.02</v>
      </c>
      <c r="C88" s="4">
        <v>0.97309999999999997</v>
      </c>
      <c r="D88" s="4">
        <v>1</v>
      </c>
      <c r="E88" s="4">
        <v>1</v>
      </c>
      <c r="F88" s="5">
        <v>0</v>
      </c>
      <c r="G88" s="5">
        <v>-1.0476538823283477E-2</v>
      </c>
    </row>
    <row r="89" spans="1:7" x14ac:dyDescent="0.35">
      <c r="A89" s="3">
        <v>44136</v>
      </c>
      <c r="B89" s="4">
        <v>1.01</v>
      </c>
      <c r="C89" s="4">
        <v>0.99070000000000003</v>
      </c>
      <c r="D89" s="4">
        <v>1</v>
      </c>
      <c r="E89" s="4">
        <v>1</v>
      </c>
      <c r="F89" s="5">
        <v>0</v>
      </c>
      <c r="G89" s="5">
        <v>-2.5803449078263707E-2</v>
      </c>
    </row>
    <row r="90" spans="1:7" x14ac:dyDescent="0.35">
      <c r="A90" s="3">
        <v>44137</v>
      </c>
      <c r="B90" s="4">
        <v>1.0189999999999999</v>
      </c>
      <c r="C90" s="4">
        <v>0.97419999999999995</v>
      </c>
      <c r="D90" s="4">
        <v>1</v>
      </c>
      <c r="E90" s="4">
        <v>0.99990000000000001</v>
      </c>
      <c r="F90" s="5">
        <v>9.9999999999988987E-5</v>
      </c>
      <c r="G90" s="5">
        <v>3.3119092627599156E-2</v>
      </c>
    </row>
    <row r="91" spans="1:7" x14ac:dyDescent="0.35">
      <c r="A91" s="3">
        <v>44138</v>
      </c>
      <c r="B91" s="4">
        <v>1.004</v>
      </c>
      <c r="C91" s="4">
        <v>0.94869999999999999</v>
      </c>
      <c r="D91" s="4">
        <v>0.99990000000000001</v>
      </c>
      <c r="E91" s="4">
        <v>1</v>
      </c>
      <c r="F91" s="5">
        <v>-1.0001000100001711E-4</v>
      </c>
      <c r="G91" s="5">
        <v>-1.191314095044449E-2</v>
      </c>
    </row>
    <row r="92" spans="1:7" x14ac:dyDescent="0.35">
      <c r="A92" s="3">
        <v>44139</v>
      </c>
      <c r="B92" s="4">
        <v>0.99990000000000001</v>
      </c>
      <c r="C92" s="4">
        <v>0.99980000000000002</v>
      </c>
      <c r="D92" s="4">
        <v>0.99990000000000001</v>
      </c>
      <c r="E92" s="4">
        <v>0.99980000000000002</v>
      </c>
      <c r="F92" s="5">
        <v>1.9999999999997797E-4</v>
      </c>
      <c r="G92" s="5">
        <v>-1.5456746870001759E-4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DB8AB-3E57-4BBA-B4C6-DAD6791C6A29}">
  <sheetPr codeName="Sheet20">
    <tabColor rgb="FFC6E0B4"/>
  </sheetPr>
  <dimension ref="A1:G92"/>
  <sheetViews>
    <sheetView workbookViewId="0"/>
  </sheetViews>
  <sheetFormatPr defaultRowHeight="14.5" x14ac:dyDescent="0.35"/>
  <cols>
    <col min="1" max="1" width="8.7265625" style="3"/>
    <col min="2" max="5" width="8.7265625" style="4"/>
    <col min="6" max="6" width="8.7265625" style="5"/>
    <col min="7" max="7" width="8.7265625" style="4"/>
  </cols>
  <sheetData>
    <row r="1" spans="1:7" x14ac:dyDescent="0.35">
      <c r="A1" s="3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5" t="s">
        <v>21</v>
      </c>
      <c r="G1" s="4" t="s">
        <v>43</v>
      </c>
    </row>
    <row r="2" spans="1:7" x14ac:dyDescent="0.35">
      <c r="A2" s="3">
        <v>44049</v>
      </c>
      <c r="B2" s="4">
        <v>403.28</v>
      </c>
      <c r="C2" s="4">
        <v>392.92</v>
      </c>
      <c r="D2" s="4">
        <v>400.98</v>
      </c>
      <c r="E2" s="4">
        <v>395.04</v>
      </c>
    </row>
    <row r="3" spans="1:7" x14ac:dyDescent="0.35">
      <c r="A3" s="3">
        <v>44050</v>
      </c>
      <c r="B3" s="4">
        <v>398.38</v>
      </c>
      <c r="C3" s="4">
        <v>365.09</v>
      </c>
      <c r="D3" s="4">
        <v>395.07</v>
      </c>
      <c r="E3" s="4">
        <v>379.57</v>
      </c>
      <c r="F3" s="5">
        <v>3.9160591332523365E-2</v>
      </c>
      <c r="G3" s="5">
        <v>3.9160591332523365E-2</v>
      </c>
    </row>
    <row r="4" spans="1:7" x14ac:dyDescent="0.35">
      <c r="A4" s="3">
        <v>44051</v>
      </c>
      <c r="B4" s="4">
        <v>397.58</v>
      </c>
      <c r="C4" s="4">
        <v>376.32</v>
      </c>
      <c r="D4" s="4">
        <v>379.57</v>
      </c>
      <c r="E4" s="4">
        <v>397.56</v>
      </c>
      <c r="F4" s="5">
        <v>-4.739573728166091E-2</v>
      </c>
      <c r="G4" s="5">
        <v>-4.739573728166091E-2</v>
      </c>
    </row>
    <row r="5" spans="1:7" x14ac:dyDescent="0.35">
      <c r="A5" s="3">
        <v>44052</v>
      </c>
      <c r="B5" s="4">
        <v>400.32</v>
      </c>
      <c r="C5" s="4">
        <v>384.27</v>
      </c>
      <c r="D5" s="4">
        <v>397.56</v>
      </c>
      <c r="E5" s="4">
        <v>390.28</v>
      </c>
      <c r="F5" s="5">
        <v>1.8311701378408318E-2</v>
      </c>
      <c r="G5" s="5">
        <v>1.8311701378408318E-2</v>
      </c>
    </row>
    <row r="6" spans="1:7" x14ac:dyDescent="0.35">
      <c r="A6" s="3">
        <v>44053</v>
      </c>
      <c r="B6" s="4">
        <v>399.28</v>
      </c>
      <c r="C6" s="4">
        <v>390.95</v>
      </c>
      <c r="D6" s="4">
        <v>390.32</v>
      </c>
      <c r="E6" s="4">
        <v>395.71</v>
      </c>
      <c r="F6" s="5">
        <v>-1.3913088039356314E-2</v>
      </c>
      <c r="G6" s="5">
        <v>-1.3913088039356314E-2</v>
      </c>
    </row>
    <row r="7" spans="1:7" x14ac:dyDescent="0.35">
      <c r="A7" s="3">
        <v>44054</v>
      </c>
      <c r="B7" s="4">
        <v>398.33</v>
      </c>
      <c r="C7" s="4">
        <v>366.89</v>
      </c>
      <c r="D7" s="4">
        <v>395.84</v>
      </c>
      <c r="E7" s="4">
        <v>378.94</v>
      </c>
      <c r="F7" s="5">
        <v>4.2379520355816047E-2</v>
      </c>
      <c r="G7" s="5">
        <v>4.2379520355816047E-2</v>
      </c>
    </row>
    <row r="8" spans="1:7" x14ac:dyDescent="0.35">
      <c r="A8" s="3">
        <v>44055</v>
      </c>
      <c r="B8" s="4">
        <v>389.5</v>
      </c>
      <c r="C8" s="4">
        <v>366.09</v>
      </c>
      <c r="D8" s="4">
        <v>378.94</v>
      </c>
      <c r="E8" s="4">
        <v>387.19</v>
      </c>
      <c r="F8" s="5">
        <v>-2.1771256663323912E-2</v>
      </c>
      <c r="G8" s="5">
        <v>-2.1771256663323912E-2</v>
      </c>
    </row>
    <row r="9" spans="1:7" x14ac:dyDescent="0.35">
      <c r="A9" s="3">
        <v>44056</v>
      </c>
      <c r="B9" s="4">
        <v>431.71</v>
      </c>
      <c r="C9" s="4">
        <v>377.01</v>
      </c>
      <c r="D9" s="4">
        <v>387.19</v>
      </c>
      <c r="E9" s="4">
        <v>424.97</v>
      </c>
      <c r="F9" s="5">
        <v>-9.7574834060797144E-2</v>
      </c>
      <c r="G9" s="5">
        <v>-9.7574834060797144E-2</v>
      </c>
    </row>
    <row r="10" spans="1:7" x14ac:dyDescent="0.35">
      <c r="A10" s="3">
        <v>44057</v>
      </c>
      <c r="B10" s="4">
        <v>444.64</v>
      </c>
      <c r="C10" s="4">
        <v>418.03</v>
      </c>
      <c r="D10" s="4">
        <v>424.97</v>
      </c>
      <c r="E10" s="4">
        <v>438.51</v>
      </c>
      <c r="F10" s="5">
        <v>-3.1861072546297331E-2</v>
      </c>
      <c r="G10" s="5">
        <v>-3.1861072546297331E-2</v>
      </c>
    </row>
    <row r="11" spans="1:7" x14ac:dyDescent="0.35">
      <c r="A11" s="3">
        <v>44058</v>
      </c>
      <c r="B11" s="4">
        <v>442.89</v>
      </c>
      <c r="C11" s="4">
        <v>424.74</v>
      </c>
      <c r="D11" s="4">
        <v>438.48</v>
      </c>
      <c r="E11" s="4">
        <v>432.57</v>
      </c>
      <c r="F11" s="5">
        <v>1.3545871245809638E-2</v>
      </c>
      <c r="G11" s="5">
        <v>1.3545871245809638E-2</v>
      </c>
    </row>
    <row r="12" spans="1:7" x14ac:dyDescent="0.35">
      <c r="A12" s="3">
        <v>44059</v>
      </c>
      <c r="B12" s="4">
        <v>436.95</v>
      </c>
      <c r="C12" s="4">
        <v>412.94</v>
      </c>
      <c r="D12" s="4">
        <v>432.63</v>
      </c>
      <c r="E12" s="4">
        <v>433.85</v>
      </c>
      <c r="F12" s="5">
        <v>-2.9590586494672166E-3</v>
      </c>
      <c r="G12" s="5">
        <v>-2.9590586494672166E-3</v>
      </c>
    </row>
    <row r="13" spans="1:7" x14ac:dyDescent="0.35">
      <c r="A13" s="3">
        <v>44060</v>
      </c>
      <c r="B13" s="4">
        <v>447</v>
      </c>
      <c r="C13" s="4">
        <v>420.72</v>
      </c>
      <c r="D13" s="4">
        <v>433.85</v>
      </c>
      <c r="E13" s="4">
        <v>431.26</v>
      </c>
      <c r="F13" s="5">
        <v>5.9698052322232353E-3</v>
      </c>
      <c r="G13" s="5">
        <v>5.9698052322232353E-3</v>
      </c>
    </row>
    <row r="14" spans="1:7" x14ac:dyDescent="0.35">
      <c r="A14" s="3">
        <v>44061</v>
      </c>
      <c r="B14" s="4">
        <v>426.14</v>
      </c>
      <c r="C14" s="4">
        <v>415.73</v>
      </c>
      <c r="D14" s="4">
        <v>431.28</v>
      </c>
      <c r="E14" s="4">
        <v>422.19</v>
      </c>
      <c r="F14" s="5">
        <v>2.1031396373417444E-2</v>
      </c>
      <c r="G14" s="5">
        <v>2.1031396373417444E-2</v>
      </c>
    </row>
    <row r="15" spans="1:7" x14ac:dyDescent="0.35">
      <c r="A15" s="3">
        <v>44062</v>
      </c>
      <c r="B15" s="4">
        <v>426.84</v>
      </c>
      <c r="C15" s="4">
        <v>394.63</v>
      </c>
      <c r="D15" s="4">
        <v>422.38</v>
      </c>
      <c r="E15" s="4">
        <v>407.85</v>
      </c>
      <c r="F15" s="5">
        <v>3.3965750017764473E-2</v>
      </c>
      <c r="G15" s="5">
        <v>3.3965750017764473E-2</v>
      </c>
    </row>
    <row r="16" spans="1:7" x14ac:dyDescent="0.35">
      <c r="A16" s="3">
        <v>44063</v>
      </c>
      <c r="B16" s="4">
        <v>419.09</v>
      </c>
      <c r="C16" s="4">
        <v>402.63</v>
      </c>
      <c r="D16" s="4">
        <v>407.85</v>
      </c>
      <c r="E16" s="4">
        <v>416.04</v>
      </c>
      <c r="F16" s="5">
        <v>-2.0080912100036707E-2</v>
      </c>
      <c r="G16" s="5">
        <v>-2.0080912100036707E-2</v>
      </c>
    </row>
    <row r="17" spans="1:7" x14ac:dyDescent="0.35">
      <c r="A17" s="3">
        <v>44064</v>
      </c>
      <c r="B17" s="4">
        <v>418.78</v>
      </c>
      <c r="C17" s="4">
        <v>385.2</v>
      </c>
      <c r="D17" s="4">
        <v>416.04</v>
      </c>
      <c r="E17" s="4">
        <v>387.98</v>
      </c>
      <c r="F17" s="5">
        <v>6.7445437938659758E-2</v>
      </c>
      <c r="G17" s="5">
        <v>6.7445437938659758E-2</v>
      </c>
    </row>
    <row r="18" spans="1:7" x14ac:dyDescent="0.35">
      <c r="A18" s="3">
        <v>44065</v>
      </c>
      <c r="B18" s="4">
        <v>397.18</v>
      </c>
      <c r="C18" s="4">
        <v>379.8</v>
      </c>
      <c r="D18" s="4">
        <v>387.98</v>
      </c>
      <c r="E18" s="4">
        <v>395.46</v>
      </c>
      <c r="F18" s="5">
        <v>-1.9279344296097678E-2</v>
      </c>
      <c r="G18" s="5">
        <v>-1.9279344296097678E-2</v>
      </c>
    </row>
    <row r="19" spans="1:7" x14ac:dyDescent="0.35">
      <c r="A19" s="3">
        <v>44066</v>
      </c>
      <c r="B19" s="4">
        <v>397.58</v>
      </c>
      <c r="C19" s="4">
        <v>383.56</v>
      </c>
      <c r="D19" s="4">
        <v>395.46</v>
      </c>
      <c r="E19" s="4">
        <v>390.72</v>
      </c>
      <c r="F19" s="5">
        <v>1.1986041571840245E-2</v>
      </c>
      <c r="G19" s="5">
        <v>1.1986041571840245E-2</v>
      </c>
    </row>
    <row r="20" spans="1:7" x14ac:dyDescent="0.35">
      <c r="A20" s="3">
        <v>44067</v>
      </c>
      <c r="B20" s="4">
        <v>410.39</v>
      </c>
      <c r="C20" s="4">
        <v>387.72</v>
      </c>
      <c r="D20" s="4">
        <v>390.72</v>
      </c>
      <c r="E20" s="4">
        <v>408.03</v>
      </c>
      <c r="F20" s="5">
        <v>-4.4302825552825498E-2</v>
      </c>
      <c r="G20" s="5">
        <v>-4.4302825552825498E-2</v>
      </c>
    </row>
    <row r="21" spans="1:7" x14ac:dyDescent="0.35">
      <c r="A21" s="3">
        <v>44068</v>
      </c>
      <c r="B21" s="4">
        <v>409.1</v>
      </c>
      <c r="C21" s="4">
        <v>370.38</v>
      </c>
      <c r="D21" s="4">
        <v>408.03</v>
      </c>
      <c r="E21" s="4">
        <v>383.34</v>
      </c>
      <c r="F21" s="5">
        <v>6.051025659877951E-2</v>
      </c>
      <c r="G21" s="5">
        <v>6.051025659877951E-2</v>
      </c>
    </row>
    <row r="22" spans="1:7" x14ac:dyDescent="0.35">
      <c r="A22" s="3">
        <v>44069</v>
      </c>
      <c r="B22" s="4">
        <v>393.33</v>
      </c>
      <c r="C22" s="4">
        <v>377.76</v>
      </c>
      <c r="D22" s="4">
        <v>383.34</v>
      </c>
      <c r="E22" s="4">
        <v>386.02</v>
      </c>
      <c r="F22" s="5">
        <v>-6.9911827620390277E-3</v>
      </c>
      <c r="G22" s="5">
        <v>-6.9911827620390277E-3</v>
      </c>
    </row>
    <row r="23" spans="1:7" x14ac:dyDescent="0.35">
      <c r="A23" s="3">
        <v>44070</v>
      </c>
      <c r="B23" s="4">
        <v>387.86</v>
      </c>
      <c r="C23" s="4">
        <v>377.32</v>
      </c>
      <c r="D23" s="4">
        <v>385.98</v>
      </c>
      <c r="E23" s="4">
        <v>382.99</v>
      </c>
      <c r="F23" s="5">
        <v>7.8493342313868952E-3</v>
      </c>
      <c r="G23" s="5">
        <v>7.8493342313868952E-3</v>
      </c>
    </row>
    <row r="24" spans="1:7" x14ac:dyDescent="0.35">
      <c r="A24" s="3">
        <v>44071</v>
      </c>
      <c r="B24" s="4">
        <v>398.08</v>
      </c>
      <c r="C24" s="4">
        <v>388.28</v>
      </c>
      <c r="D24" s="4">
        <v>382.99</v>
      </c>
      <c r="E24" s="4">
        <v>395.54</v>
      </c>
      <c r="F24" s="5">
        <v>-3.2768479594767586E-2</v>
      </c>
      <c r="G24" s="5">
        <v>-3.2768479594767586E-2</v>
      </c>
    </row>
    <row r="25" spans="1:7" x14ac:dyDescent="0.35">
      <c r="A25" s="3">
        <v>44072</v>
      </c>
      <c r="B25" s="4">
        <v>404.11</v>
      </c>
      <c r="C25" s="4">
        <v>392.52</v>
      </c>
      <c r="D25" s="4">
        <v>395.54</v>
      </c>
      <c r="E25" s="4">
        <v>398.95</v>
      </c>
      <c r="F25" s="5">
        <v>-8.6211255498811479E-3</v>
      </c>
      <c r="G25" s="5">
        <v>-8.6211255498811479E-3</v>
      </c>
    </row>
    <row r="26" spans="1:7" x14ac:dyDescent="0.35">
      <c r="A26" s="3">
        <v>44073</v>
      </c>
      <c r="B26" s="4">
        <v>430.11</v>
      </c>
      <c r="C26" s="4">
        <v>407.15</v>
      </c>
      <c r="D26" s="4">
        <v>398.95</v>
      </c>
      <c r="E26" s="4">
        <v>429.18</v>
      </c>
      <c r="F26" s="5">
        <v>-7.5773906504574606E-2</v>
      </c>
      <c r="G26" s="5">
        <v>-7.5773906504574606E-2</v>
      </c>
    </row>
    <row r="27" spans="1:7" x14ac:dyDescent="0.35">
      <c r="A27" s="3">
        <v>44074</v>
      </c>
      <c r="B27" s="4">
        <v>436.58</v>
      </c>
      <c r="C27" s="4">
        <v>420.61</v>
      </c>
      <c r="D27" s="4">
        <v>429.18</v>
      </c>
      <c r="E27" s="4">
        <v>434.14</v>
      </c>
      <c r="F27" s="5">
        <v>-1.1556922503378475E-2</v>
      </c>
      <c r="G27" s="5">
        <v>-1.1556922503378475E-2</v>
      </c>
    </row>
    <row r="28" spans="1:7" x14ac:dyDescent="0.35">
      <c r="A28" s="3">
        <v>44075</v>
      </c>
      <c r="B28" s="4">
        <v>483.63</v>
      </c>
      <c r="C28" s="4">
        <v>442.6</v>
      </c>
      <c r="D28" s="4">
        <v>434.14</v>
      </c>
      <c r="E28" s="4">
        <v>475.99</v>
      </c>
      <c r="F28" s="5">
        <v>-9.6397475468742888E-2</v>
      </c>
      <c r="G28" s="5">
        <v>-9.6397475468742888E-2</v>
      </c>
    </row>
    <row r="29" spans="1:7" x14ac:dyDescent="0.35">
      <c r="A29" s="3">
        <v>44076</v>
      </c>
      <c r="B29" s="4">
        <v>481.22</v>
      </c>
      <c r="C29" s="4">
        <v>421.58</v>
      </c>
      <c r="D29" s="4">
        <v>475.81</v>
      </c>
      <c r="E29" s="4">
        <v>439.83</v>
      </c>
      <c r="F29" s="5">
        <v>7.5967982520641186E-2</v>
      </c>
      <c r="G29" s="5">
        <v>7.5967982520641186E-2</v>
      </c>
    </row>
    <row r="30" spans="1:7" x14ac:dyDescent="0.35">
      <c r="A30" s="3">
        <v>44077</v>
      </c>
      <c r="B30" s="4">
        <v>450.71</v>
      </c>
      <c r="C30" s="4">
        <v>374.19</v>
      </c>
      <c r="D30" s="4">
        <v>439.83</v>
      </c>
      <c r="E30" s="4">
        <v>382.46</v>
      </c>
      <c r="F30" s="5">
        <v>0.1304367596571403</v>
      </c>
      <c r="G30" s="5">
        <v>0.1304367596571403</v>
      </c>
    </row>
    <row r="31" spans="1:7" x14ac:dyDescent="0.35">
      <c r="A31" s="3">
        <v>44078</v>
      </c>
      <c r="B31" s="4">
        <v>400.18</v>
      </c>
      <c r="C31" s="4">
        <v>364.11</v>
      </c>
      <c r="D31" s="4">
        <v>382.46</v>
      </c>
      <c r="E31" s="4">
        <v>385.91</v>
      </c>
      <c r="F31" s="5">
        <v>-9.0205511687497797E-3</v>
      </c>
      <c r="G31" s="5">
        <v>-9.0205511687497797E-3</v>
      </c>
    </row>
    <row r="32" spans="1:7" x14ac:dyDescent="0.35">
      <c r="A32" s="3">
        <v>44079</v>
      </c>
      <c r="B32" s="4">
        <v>394.66</v>
      </c>
      <c r="C32" s="4">
        <v>310.93</v>
      </c>
      <c r="D32" s="4">
        <v>385.91</v>
      </c>
      <c r="E32" s="4">
        <v>335.24</v>
      </c>
      <c r="F32" s="5">
        <v>0.13130004405172191</v>
      </c>
      <c r="G32" s="5">
        <v>0.13130004405172191</v>
      </c>
    </row>
    <row r="33" spans="1:7" x14ac:dyDescent="0.35">
      <c r="A33" s="3">
        <v>44080</v>
      </c>
      <c r="B33" s="4">
        <v>360.31</v>
      </c>
      <c r="C33" s="4">
        <v>316.82</v>
      </c>
      <c r="D33" s="4">
        <v>335.24</v>
      </c>
      <c r="E33" s="4">
        <v>352.69</v>
      </c>
      <c r="F33" s="5">
        <v>-5.2052261066698469E-2</v>
      </c>
      <c r="G33" s="5">
        <v>-5.2052261066698469E-2</v>
      </c>
    </row>
    <row r="34" spans="1:7" x14ac:dyDescent="0.35">
      <c r="A34" s="3">
        <v>44081</v>
      </c>
      <c r="B34" s="4">
        <v>358.54</v>
      </c>
      <c r="C34" s="4">
        <v>323.67</v>
      </c>
      <c r="D34" s="4">
        <v>352.69</v>
      </c>
      <c r="E34" s="4">
        <v>353.7</v>
      </c>
      <c r="F34" s="5">
        <v>-2.8637046698234414E-3</v>
      </c>
      <c r="G34" s="5">
        <v>-2.8637046698234414E-3</v>
      </c>
    </row>
    <row r="35" spans="1:7" x14ac:dyDescent="0.35">
      <c r="A35" s="3">
        <v>44082</v>
      </c>
      <c r="B35" s="4">
        <v>356.57</v>
      </c>
      <c r="C35" s="4">
        <v>325.75</v>
      </c>
      <c r="D35" s="4">
        <v>353.7</v>
      </c>
      <c r="E35" s="4">
        <v>337.45</v>
      </c>
      <c r="F35" s="5">
        <v>4.5942889454339886E-2</v>
      </c>
      <c r="G35" s="5">
        <v>4.5942889454339886E-2</v>
      </c>
    </row>
    <row r="36" spans="1:7" x14ac:dyDescent="0.35">
      <c r="A36" s="3">
        <v>44083</v>
      </c>
      <c r="B36" s="4">
        <v>359.2</v>
      </c>
      <c r="C36" s="4">
        <v>331.01</v>
      </c>
      <c r="D36" s="4">
        <v>337.45</v>
      </c>
      <c r="E36" s="4">
        <v>351.15</v>
      </c>
      <c r="F36" s="5">
        <v>-4.0598607201066894E-2</v>
      </c>
      <c r="G36" s="5">
        <v>-4.0598607201066894E-2</v>
      </c>
    </row>
    <row r="37" spans="1:7" x14ac:dyDescent="0.35">
      <c r="A37" s="3">
        <v>44084</v>
      </c>
      <c r="B37" s="4">
        <v>377.54</v>
      </c>
      <c r="C37" s="4">
        <v>350.44</v>
      </c>
      <c r="D37" s="4">
        <v>351.15</v>
      </c>
      <c r="E37" s="4">
        <v>368.09</v>
      </c>
      <c r="F37" s="5">
        <v>-4.8241492239783579E-2</v>
      </c>
      <c r="G37" s="5">
        <v>-4.8241492239783579E-2</v>
      </c>
    </row>
    <row r="38" spans="1:7" x14ac:dyDescent="0.35">
      <c r="A38" s="3">
        <v>44085</v>
      </c>
      <c r="B38" s="4">
        <v>375.31</v>
      </c>
      <c r="C38" s="4">
        <v>356.15</v>
      </c>
      <c r="D38" s="4">
        <v>368.09</v>
      </c>
      <c r="E38" s="4">
        <v>373.99</v>
      </c>
      <c r="F38" s="5">
        <v>-1.6028688635931543E-2</v>
      </c>
      <c r="G38" s="5">
        <v>-1.6028688635931543E-2</v>
      </c>
    </row>
    <row r="39" spans="1:7" x14ac:dyDescent="0.35">
      <c r="A39" s="3">
        <v>44086</v>
      </c>
      <c r="B39" s="4">
        <v>388.14</v>
      </c>
      <c r="C39" s="4">
        <v>369.96</v>
      </c>
      <c r="D39" s="4">
        <v>374.03</v>
      </c>
      <c r="E39" s="4">
        <v>388.04</v>
      </c>
      <c r="F39" s="5">
        <v>-3.7567849407738274E-2</v>
      </c>
      <c r="G39" s="5">
        <v>-3.7567849407738274E-2</v>
      </c>
    </row>
    <row r="40" spans="1:7" x14ac:dyDescent="0.35">
      <c r="A40" s="3">
        <v>44087</v>
      </c>
      <c r="B40" s="4">
        <v>383.85</v>
      </c>
      <c r="C40" s="4">
        <v>357.71</v>
      </c>
      <c r="D40" s="4">
        <v>388.04</v>
      </c>
      <c r="E40" s="4">
        <v>366.28</v>
      </c>
      <c r="F40" s="5">
        <v>5.6076693124420318E-2</v>
      </c>
      <c r="G40" s="5">
        <v>5.6076693124420318E-2</v>
      </c>
    </row>
    <row r="41" spans="1:7" x14ac:dyDescent="0.35">
      <c r="A41" s="3">
        <v>44088</v>
      </c>
      <c r="B41" s="4">
        <v>382.82</v>
      </c>
      <c r="C41" s="4">
        <v>370.75</v>
      </c>
      <c r="D41" s="4">
        <v>366.28</v>
      </c>
      <c r="E41" s="4">
        <v>377.26</v>
      </c>
      <c r="F41" s="5">
        <v>-2.9977066724909962E-2</v>
      </c>
      <c r="G41" s="5">
        <v>-2.9977066724909962E-2</v>
      </c>
    </row>
    <row r="42" spans="1:7" x14ac:dyDescent="0.35">
      <c r="A42" s="3">
        <v>44089</v>
      </c>
      <c r="B42" s="4">
        <v>382.28</v>
      </c>
      <c r="C42" s="4">
        <v>362.54</v>
      </c>
      <c r="D42" s="4">
        <v>377.26</v>
      </c>
      <c r="E42" s="4">
        <v>364.16</v>
      </c>
      <c r="F42" s="5">
        <v>3.4724062980437842E-2</v>
      </c>
      <c r="G42" s="5">
        <v>3.4724062980437842E-2</v>
      </c>
    </row>
    <row r="43" spans="1:7" x14ac:dyDescent="0.35">
      <c r="A43" s="3">
        <v>44090</v>
      </c>
      <c r="B43" s="4">
        <v>370.9</v>
      </c>
      <c r="C43" s="4">
        <v>363.23</v>
      </c>
      <c r="D43" s="4">
        <v>364.16</v>
      </c>
      <c r="E43" s="4">
        <v>365.09</v>
      </c>
      <c r="F43" s="5">
        <v>-2.5538224956060951E-3</v>
      </c>
      <c r="G43" s="5">
        <v>-2.5538224956060951E-3</v>
      </c>
    </row>
    <row r="44" spans="1:7" x14ac:dyDescent="0.35">
      <c r="A44" s="3">
        <v>44091</v>
      </c>
      <c r="B44" s="4">
        <v>394.57</v>
      </c>
      <c r="C44" s="4">
        <v>364.04</v>
      </c>
      <c r="D44" s="4">
        <v>365.09</v>
      </c>
      <c r="E44" s="4">
        <v>389.54</v>
      </c>
      <c r="F44" s="5">
        <v>-6.6969788271385333E-2</v>
      </c>
      <c r="G44" s="5">
        <v>-6.6969788271385333E-2</v>
      </c>
    </row>
    <row r="45" spans="1:7" x14ac:dyDescent="0.35">
      <c r="A45" s="3">
        <v>44092</v>
      </c>
      <c r="B45" s="4">
        <v>391.69</v>
      </c>
      <c r="C45" s="4">
        <v>379.76</v>
      </c>
      <c r="D45" s="4">
        <v>389.54</v>
      </c>
      <c r="E45" s="4">
        <v>384.47</v>
      </c>
      <c r="F45" s="5">
        <v>1.3015351440160194E-2</v>
      </c>
      <c r="G45" s="5">
        <v>1.3015351440160194E-2</v>
      </c>
    </row>
    <row r="46" spans="1:7" x14ac:dyDescent="0.35">
      <c r="A46" s="3">
        <v>44093</v>
      </c>
      <c r="B46" s="4">
        <v>389.7</v>
      </c>
      <c r="C46" s="4">
        <v>382.61</v>
      </c>
      <c r="D46" s="4">
        <v>384.47</v>
      </c>
      <c r="E46" s="4">
        <v>385.27</v>
      </c>
      <c r="F46" s="5">
        <v>-2.0807865373109191E-3</v>
      </c>
      <c r="G46" s="5">
        <v>-2.0807865373109191E-3</v>
      </c>
    </row>
    <row r="47" spans="1:7" x14ac:dyDescent="0.35">
      <c r="A47" s="3">
        <v>44094</v>
      </c>
      <c r="B47" s="4">
        <v>380.84</v>
      </c>
      <c r="C47" s="4">
        <v>369.05</v>
      </c>
      <c r="D47" s="4">
        <v>385.27</v>
      </c>
      <c r="E47" s="4">
        <v>371.02</v>
      </c>
      <c r="F47" s="5">
        <v>3.6987048044228699E-2</v>
      </c>
      <c r="G47" s="5">
        <v>3.6987048044228699E-2</v>
      </c>
    </row>
    <row r="48" spans="1:7" x14ac:dyDescent="0.35">
      <c r="A48" s="3">
        <v>44095</v>
      </c>
      <c r="B48" s="4">
        <v>376.42</v>
      </c>
      <c r="C48" s="4">
        <v>332.74</v>
      </c>
      <c r="D48" s="4">
        <v>371.06</v>
      </c>
      <c r="E48" s="4">
        <v>340.19</v>
      </c>
      <c r="F48" s="5">
        <v>8.3095250929869025E-2</v>
      </c>
      <c r="G48" s="5">
        <v>8.3095250929869025E-2</v>
      </c>
    </row>
    <row r="49" spans="1:7" x14ac:dyDescent="0.35">
      <c r="A49" s="3">
        <v>44096</v>
      </c>
      <c r="B49" s="4">
        <v>346.8</v>
      </c>
      <c r="C49" s="4">
        <v>335.89</v>
      </c>
      <c r="D49" s="4">
        <v>340.19</v>
      </c>
      <c r="E49" s="4">
        <v>344.25</v>
      </c>
      <c r="F49" s="5">
        <v>-1.1934507187160159E-2</v>
      </c>
      <c r="G49" s="5">
        <v>-1.1934507187160159E-2</v>
      </c>
    </row>
    <row r="50" spans="1:7" x14ac:dyDescent="0.35">
      <c r="A50" s="3">
        <v>44097</v>
      </c>
      <c r="B50" s="4">
        <v>344.61</v>
      </c>
      <c r="C50" s="4">
        <v>314.7</v>
      </c>
      <c r="D50" s="4">
        <v>344.25</v>
      </c>
      <c r="E50" s="4">
        <v>320.19</v>
      </c>
      <c r="F50" s="5">
        <v>6.989106753812635E-2</v>
      </c>
      <c r="G50" s="5">
        <v>6.989106753812635E-2</v>
      </c>
    </row>
    <row r="51" spans="1:7" x14ac:dyDescent="0.35">
      <c r="A51" s="3">
        <v>44098</v>
      </c>
      <c r="B51" s="4">
        <v>352.84</v>
      </c>
      <c r="C51" s="4">
        <v>317.14</v>
      </c>
      <c r="D51" s="4">
        <v>320.19</v>
      </c>
      <c r="E51" s="4">
        <v>349.18</v>
      </c>
      <c r="F51" s="5">
        <v>-9.0539991879821313E-2</v>
      </c>
      <c r="G51" s="5">
        <v>-9.0539991879821313E-2</v>
      </c>
    </row>
    <row r="52" spans="1:7" x14ac:dyDescent="0.35">
      <c r="A52" s="3">
        <v>44099</v>
      </c>
      <c r="B52" s="4">
        <v>358.04</v>
      </c>
      <c r="C52" s="4">
        <v>338.01</v>
      </c>
      <c r="D52" s="4">
        <v>349.18</v>
      </c>
      <c r="E52" s="4">
        <v>352.02</v>
      </c>
      <c r="F52" s="5">
        <v>-8.133340970273073E-3</v>
      </c>
      <c r="G52" s="5">
        <v>-8.133340970273073E-3</v>
      </c>
    </row>
    <row r="53" spans="1:7" x14ac:dyDescent="0.35">
      <c r="A53" s="3">
        <v>44100</v>
      </c>
      <c r="B53" s="4">
        <v>355.52</v>
      </c>
      <c r="C53" s="4">
        <v>348.76</v>
      </c>
      <c r="D53" s="4">
        <v>352.05</v>
      </c>
      <c r="E53" s="4">
        <v>354.23</v>
      </c>
      <c r="F53" s="5">
        <v>-6.2780523833874113E-3</v>
      </c>
      <c r="G53" s="5">
        <v>-6.2780523833874113E-3</v>
      </c>
    </row>
    <row r="54" spans="1:7" x14ac:dyDescent="0.35">
      <c r="A54" s="3">
        <v>44101</v>
      </c>
      <c r="B54" s="4">
        <v>361.72</v>
      </c>
      <c r="C54" s="4">
        <v>353.42</v>
      </c>
      <c r="D54" s="4">
        <v>354.23</v>
      </c>
      <c r="E54" s="4">
        <v>357.73</v>
      </c>
      <c r="F54" s="5">
        <v>-9.8805860599044948E-3</v>
      </c>
      <c r="G54" s="5">
        <v>-9.8805860599044948E-3</v>
      </c>
    </row>
    <row r="55" spans="1:7" x14ac:dyDescent="0.35">
      <c r="A55" s="3">
        <v>44102</v>
      </c>
      <c r="B55" s="4">
        <v>368.15</v>
      </c>
      <c r="C55" s="4">
        <v>352.09</v>
      </c>
      <c r="D55" s="4">
        <v>357.67</v>
      </c>
      <c r="E55" s="4">
        <v>354.01</v>
      </c>
      <c r="F55" s="5">
        <v>1.0398904201492809E-2</v>
      </c>
      <c r="G55" s="5">
        <v>1.0398904201492809E-2</v>
      </c>
    </row>
    <row r="56" spans="1:7" x14ac:dyDescent="0.35">
      <c r="A56" s="3">
        <v>44103</v>
      </c>
      <c r="B56" s="4">
        <v>360.59</v>
      </c>
      <c r="C56" s="4">
        <v>350.49</v>
      </c>
      <c r="D56" s="4">
        <v>354.01</v>
      </c>
      <c r="E56" s="4">
        <v>359.92</v>
      </c>
      <c r="F56" s="5">
        <v>-1.6694443659783786E-2</v>
      </c>
      <c r="G56" s="5">
        <v>-1.6694443659783786E-2</v>
      </c>
    </row>
    <row r="57" spans="1:7" x14ac:dyDescent="0.35">
      <c r="A57" s="3">
        <v>44104</v>
      </c>
      <c r="B57" s="4">
        <v>361.43</v>
      </c>
      <c r="C57" s="4">
        <v>355.4</v>
      </c>
      <c r="D57" s="4">
        <v>359.82</v>
      </c>
      <c r="E57" s="4">
        <v>359.82</v>
      </c>
      <c r="F57" s="5">
        <v>2.7783951989335254E-4</v>
      </c>
      <c r="G57" s="5">
        <v>2.7783951989335254E-4</v>
      </c>
    </row>
    <row r="58" spans="1:7" x14ac:dyDescent="0.35">
      <c r="A58" s="3">
        <v>44105</v>
      </c>
      <c r="B58" s="4">
        <v>359.37</v>
      </c>
      <c r="C58" s="4">
        <v>350.66</v>
      </c>
      <c r="D58" s="4">
        <v>359.82</v>
      </c>
      <c r="E58" s="4">
        <v>353.21</v>
      </c>
      <c r="F58" s="5">
        <v>1.8370296259240804E-2</v>
      </c>
      <c r="G58" s="5">
        <v>1.8370296259240804E-2</v>
      </c>
    </row>
    <row r="59" spans="1:7" x14ac:dyDescent="0.35">
      <c r="A59" s="3">
        <v>44106</v>
      </c>
      <c r="B59" s="4">
        <v>354.28</v>
      </c>
      <c r="C59" s="4">
        <v>334.71</v>
      </c>
      <c r="D59" s="4">
        <v>353.09</v>
      </c>
      <c r="E59" s="4">
        <v>345.83</v>
      </c>
      <c r="F59" s="5">
        <v>2.0894085671413598E-2</v>
      </c>
      <c r="G59" s="5">
        <v>2.0894085671413598E-2</v>
      </c>
    </row>
    <row r="60" spans="1:7" x14ac:dyDescent="0.35">
      <c r="A60" s="3">
        <v>44107</v>
      </c>
      <c r="B60" s="4">
        <v>349.91</v>
      </c>
      <c r="C60" s="4">
        <v>344.31</v>
      </c>
      <c r="D60" s="4">
        <v>345.96</v>
      </c>
      <c r="E60" s="4">
        <v>346.32</v>
      </c>
      <c r="F60" s="5">
        <v>-1.4168811265651282E-3</v>
      </c>
      <c r="G60" s="5">
        <v>-1.4168811265651282E-3</v>
      </c>
    </row>
    <row r="61" spans="1:7" x14ac:dyDescent="0.35">
      <c r="A61" s="3">
        <v>44108</v>
      </c>
      <c r="B61" s="4">
        <v>353.57</v>
      </c>
      <c r="C61" s="4">
        <v>348.34</v>
      </c>
      <c r="D61" s="4">
        <v>346.32</v>
      </c>
      <c r="E61" s="4">
        <v>352.61</v>
      </c>
      <c r="F61" s="5">
        <v>-1.816239316239332E-2</v>
      </c>
      <c r="G61" s="5">
        <v>-1.816239316239332E-2</v>
      </c>
    </row>
    <row r="62" spans="1:7" x14ac:dyDescent="0.35">
      <c r="A62" s="3">
        <v>44109</v>
      </c>
      <c r="B62" s="4">
        <v>357.64</v>
      </c>
      <c r="C62" s="4">
        <v>353.32</v>
      </c>
      <c r="D62" s="4">
        <v>352.61</v>
      </c>
      <c r="E62" s="4">
        <v>353.76</v>
      </c>
      <c r="F62" s="5">
        <v>-3.2613936076684169E-3</v>
      </c>
      <c r="G62" s="5">
        <v>-3.2613936076684169E-3</v>
      </c>
    </row>
    <row r="63" spans="1:7" x14ac:dyDescent="0.35">
      <c r="A63" s="3">
        <v>44110</v>
      </c>
      <c r="B63" s="4">
        <v>355.32</v>
      </c>
      <c r="C63" s="4">
        <v>336.93</v>
      </c>
      <c r="D63" s="4">
        <v>353.84</v>
      </c>
      <c r="E63" s="4">
        <v>340.85</v>
      </c>
      <c r="F63" s="5">
        <v>3.6493668023518722E-2</v>
      </c>
      <c r="G63" s="5">
        <v>3.6493668023518722E-2</v>
      </c>
    </row>
    <row r="64" spans="1:7" x14ac:dyDescent="0.35">
      <c r="A64" s="3">
        <v>44111</v>
      </c>
      <c r="B64" s="4">
        <v>342.87</v>
      </c>
      <c r="C64" s="4">
        <v>333.27</v>
      </c>
      <c r="D64" s="4">
        <v>340.85</v>
      </c>
      <c r="E64" s="4">
        <v>341.91</v>
      </c>
      <c r="F64" s="5">
        <v>-3.1098723778788528E-3</v>
      </c>
      <c r="G64" s="5">
        <v>-3.1098723778788528E-3</v>
      </c>
    </row>
    <row r="65" spans="1:7" x14ac:dyDescent="0.35">
      <c r="A65" s="3">
        <v>44112</v>
      </c>
      <c r="B65" s="4">
        <v>353.4</v>
      </c>
      <c r="C65" s="4">
        <v>334.35</v>
      </c>
      <c r="D65" s="4">
        <v>341.91</v>
      </c>
      <c r="E65" s="4">
        <v>351.2</v>
      </c>
      <c r="F65" s="5">
        <v>-2.7170892925038714E-2</v>
      </c>
      <c r="G65" s="5">
        <v>-2.7170892925038714E-2</v>
      </c>
    </row>
    <row r="66" spans="1:7" x14ac:dyDescent="0.35">
      <c r="A66" s="3">
        <v>44113</v>
      </c>
      <c r="B66" s="4">
        <v>368.51</v>
      </c>
      <c r="C66" s="4">
        <v>347.19</v>
      </c>
      <c r="D66" s="4">
        <v>351.2</v>
      </c>
      <c r="E66" s="4">
        <v>365.41</v>
      </c>
      <c r="F66" s="5">
        <v>-4.0461275626423765E-2</v>
      </c>
      <c r="G66" s="5">
        <v>-4.0461275626423765E-2</v>
      </c>
    </row>
    <row r="67" spans="1:7" x14ac:dyDescent="0.35">
      <c r="A67" s="3">
        <v>44114</v>
      </c>
      <c r="B67" s="4">
        <v>378.52</v>
      </c>
      <c r="C67" s="4">
        <v>365.2</v>
      </c>
      <c r="D67" s="4">
        <v>365.41</v>
      </c>
      <c r="E67" s="4">
        <v>370.88</v>
      </c>
      <c r="F67" s="5">
        <v>-1.4969486330423276E-2</v>
      </c>
      <c r="G67" s="5">
        <v>-1.4969486330423276E-2</v>
      </c>
    </row>
    <row r="68" spans="1:7" x14ac:dyDescent="0.35">
      <c r="A68" s="3">
        <v>44115</v>
      </c>
      <c r="B68" s="4">
        <v>376.42</v>
      </c>
      <c r="C68" s="4">
        <v>371.75</v>
      </c>
      <c r="D68" s="4">
        <v>370.8</v>
      </c>
      <c r="E68" s="4">
        <v>374.37</v>
      </c>
      <c r="F68" s="5">
        <v>-9.4100517687663032E-3</v>
      </c>
      <c r="G68" s="5">
        <v>-9.4100517687663032E-3</v>
      </c>
    </row>
    <row r="69" spans="1:7" x14ac:dyDescent="0.35">
      <c r="A69" s="3">
        <v>44116</v>
      </c>
      <c r="B69" s="4">
        <v>395.22</v>
      </c>
      <c r="C69" s="4">
        <v>365.82</v>
      </c>
      <c r="D69" s="4">
        <v>374.4</v>
      </c>
      <c r="E69" s="4">
        <v>386.91</v>
      </c>
      <c r="F69" s="5">
        <v>-3.3496273739882954E-2</v>
      </c>
      <c r="G69" s="5">
        <v>-3.3496273739882954E-2</v>
      </c>
    </row>
    <row r="70" spans="1:7" x14ac:dyDescent="0.35">
      <c r="A70" s="3">
        <v>44117</v>
      </c>
      <c r="B70" s="4">
        <v>387.82</v>
      </c>
      <c r="C70" s="4">
        <v>374.78</v>
      </c>
      <c r="D70" s="4">
        <v>386.91</v>
      </c>
      <c r="E70" s="4">
        <v>381.41</v>
      </c>
      <c r="F70" s="5">
        <v>1.421519216355227E-2</v>
      </c>
      <c r="G70" s="5">
        <v>1.421519216355227E-2</v>
      </c>
    </row>
    <row r="71" spans="1:7" x14ac:dyDescent="0.35">
      <c r="A71" s="3">
        <v>44118</v>
      </c>
      <c r="B71" s="4">
        <v>384.25</v>
      </c>
      <c r="C71" s="4">
        <v>377.28</v>
      </c>
      <c r="D71" s="4">
        <v>381.21</v>
      </c>
      <c r="E71" s="4">
        <v>379.11</v>
      </c>
      <c r="F71" s="5">
        <v>6.0302561547941336E-3</v>
      </c>
      <c r="G71" s="5">
        <v>6.0302561547941336E-3</v>
      </c>
    </row>
    <row r="72" spans="1:7" x14ac:dyDescent="0.35">
      <c r="A72" s="3">
        <v>44119</v>
      </c>
      <c r="B72" s="4">
        <v>383.69</v>
      </c>
      <c r="C72" s="4">
        <v>377.36</v>
      </c>
      <c r="D72" s="4">
        <v>379.11</v>
      </c>
      <c r="E72" s="4">
        <v>377.7</v>
      </c>
      <c r="F72" s="5">
        <v>3.7192371607185359E-3</v>
      </c>
      <c r="G72" s="5">
        <v>3.7192371607185359E-3</v>
      </c>
    </row>
    <row r="73" spans="1:7" x14ac:dyDescent="0.35">
      <c r="A73" s="3">
        <v>44120</v>
      </c>
      <c r="B73" s="4">
        <v>379.9</v>
      </c>
      <c r="C73" s="4">
        <v>361.57</v>
      </c>
      <c r="D73" s="4">
        <v>377.82</v>
      </c>
      <c r="E73" s="4">
        <v>365.58</v>
      </c>
      <c r="F73" s="5">
        <v>3.2088959491660018E-2</v>
      </c>
      <c r="G73" s="5">
        <v>3.2088959491660018E-2</v>
      </c>
    </row>
    <row r="74" spans="1:7" x14ac:dyDescent="0.35">
      <c r="A74" s="3">
        <v>44121</v>
      </c>
      <c r="B74" s="4">
        <v>369.11</v>
      </c>
      <c r="C74" s="4">
        <v>366.27</v>
      </c>
      <c r="D74" s="4">
        <v>365.72</v>
      </c>
      <c r="E74" s="4">
        <v>368.65</v>
      </c>
      <c r="F74" s="5">
        <v>-8.3976147491657827E-3</v>
      </c>
      <c r="G74" s="5">
        <v>-8.3976147491657827E-3</v>
      </c>
    </row>
    <row r="75" spans="1:7" x14ac:dyDescent="0.35">
      <c r="A75" s="3">
        <v>44122</v>
      </c>
      <c r="B75" s="4">
        <v>379.59</v>
      </c>
      <c r="C75" s="4">
        <v>372.8</v>
      </c>
      <c r="D75" s="4">
        <v>368.65</v>
      </c>
      <c r="E75" s="4">
        <v>378.44</v>
      </c>
      <c r="F75" s="5">
        <v>-2.6556354265563575E-2</v>
      </c>
      <c r="G75" s="5">
        <v>-2.6556354265563575E-2</v>
      </c>
    </row>
    <row r="76" spans="1:7" x14ac:dyDescent="0.35">
      <c r="A76" s="3">
        <v>44123</v>
      </c>
      <c r="B76" s="4">
        <v>384.42</v>
      </c>
      <c r="C76" s="4">
        <v>373.04</v>
      </c>
      <c r="D76" s="4">
        <v>378.44</v>
      </c>
      <c r="E76" s="4">
        <v>379.41</v>
      </c>
      <c r="F76" s="5">
        <v>-2.5631540006343378E-3</v>
      </c>
      <c r="G76" s="5">
        <v>-2.5631540006343378E-3</v>
      </c>
    </row>
    <row r="77" spans="1:7" x14ac:dyDescent="0.35">
      <c r="A77" s="3">
        <v>44124</v>
      </c>
      <c r="B77" s="4">
        <v>386.03</v>
      </c>
      <c r="C77" s="4">
        <v>367.91</v>
      </c>
      <c r="D77" s="4">
        <v>379.39</v>
      </c>
      <c r="E77" s="4">
        <v>368.74</v>
      </c>
      <c r="F77" s="5">
        <v>2.8122611422998878E-2</v>
      </c>
      <c r="G77" s="5">
        <v>2.8122611422998878E-2</v>
      </c>
    </row>
    <row r="78" spans="1:7" x14ac:dyDescent="0.35">
      <c r="A78" s="3">
        <v>44125</v>
      </c>
      <c r="B78" s="4">
        <v>401.78</v>
      </c>
      <c r="C78" s="4">
        <v>368.19</v>
      </c>
      <c r="D78" s="4">
        <v>368.83</v>
      </c>
      <c r="E78" s="4">
        <v>391.46</v>
      </c>
      <c r="F78" s="5">
        <v>-6.1615230243531993E-2</v>
      </c>
      <c r="G78" s="5">
        <v>-6.1615230243531993E-2</v>
      </c>
    </row>
    <row r="79" spans="1:7" x14ac:dyDescent="0.35">
      <c r="A79" s="3">
        <v>44126</v>
      </c>
      <c r="B79" s="4">
        <v>421.25</v>
      </c>
      <c r="C79" s="4">
        <v>391.34</v>
      </c>
      <c r="D79" s="4">
        <v>391.46</v>
      </c>
      <c r="E79" s="4">
        <v>414.5</v>
      </c>
      <c r="F79" s="5">
        <v>-5.8856588157155221E-2</v>
      </c>
      <c r="G79" s="5">
        <v>-5.8856588157155221E-2</v>
      </c>
    </row>
    <row r="80" spans="1:7" x14ac:dyDescent="0.35">
      <c r="A80" s="3">
        <v>44127</v>
      </c>
      <c r="B80" s="4">
        <v>419.47</v>
      </c>
      <c r="C80" s="4">
        <v>401.93</v>
      </c>
      <c r="D80" s="4">
        <v>414.5</v>
      </c>
      <c r="E80" s="4">
        <v>409.57</v>
      </c>
      <c r="F80" s="5">
        <v>1.189384800965021E-2</v>
      </c>
      <c r="G80" s="5">
        <v>1.189384800965021E-2</v>
      </c>
    </row>
    <row r="81" spans="1:7" x14ac:dyDescent="0.35">
      <c r="A81" s="3">
        <v>44128</v>
      </c>
      <c r="B81" s="4">
        <v>418.85</v>
      </c>
      <c r="C81" s="4">
        <v>410.45</v>
      </c>
      <c r="D81" s="4">
        <v>409.59</v>
      </c>
      <c r="E81" s="4">
        <v>412.55</v>
      </c>
      <c r="F81" s="5">
        <v>-7.275923529555417E-3</v>
      </c>
      <c r="G81" s="5">
        <v>-7.275923529555417E-3</v>
      </c>
    </row>
    <row r="82" spans="1:7" x14ac:dyDescent="0.35">
      <c r="A82" s="3">
        <v>44129</v>
      </c>
      <c r="B82" s="4">
        <v>411.97</v>
      </c>
      <c r="C82" s="4">
        <v>406.1</v>
      </c>
      <c r="D82" s="4">
        <v>412.55</v>
      </c>
      <c r="E82" s="4">
        <v>406.36</v>
      </c>
      <c r="F82" s="5">
        <v>1.5004241910071547E-2</v>
      </c>
      <c r="G82" s="5">
        <v>1.5004241910071547E-2</v>
      </c>
    </row>
    <row r="83" spans="1:7" x14ac:dyDescent="0.35">
      <c r="A83" s="3">
        <v>44130</v>
      </c>
      <c r="B83" s="4">
        <v>411.39</v>
      </c>
      <c r="C83" s="4">
        <v>382.64</v>
      </c>
      <c r="D83" s="4">
        <v>406.3</v>
      </c>
      <c r="E83" s="4">
        <v>393.11</v>
      </c>
      <c r="F83" s="5">
        <v>3.2606555763362577E-2</v>
      </c>
      <c r="G83" s="5">
        <v>3.2606555763362577E-2</v>
      </c>
    </row>
    <row r="84" spans="1:7" x14ac:dyDescent="0.35">
      <c r="A84" s="3">
        <v>44131</v>
      </c>
      <c r="B84" s="4">
        <v>410.25</v>
      </c>
      <c r="C84" s="4">
        <v>390.4</v>
      </c>
      <c r="D84" s="4">
        <v>393.11</v>
      </c>
      <c r="E84" s="4">
        <v>403.74</v>
      </c>
      <c r="F84" s="5">
        <v>-2.7040777390552329E-2</v>
      </c>
      <c r="G84" s="5">
        <v>-2.7040777390552329E-2</v>
      </c>
    </row>
    <row r="85" spans="1:7" x14ac:dyDescent="0.35">
      <c r="A85" s="3">
        <v>44132</v>
      </c>
      <c r="B85" s="4">
        <v>409.35</v>
      </c>
      <c r="C85" s="4">
        <v>381.06</v>
      </c>
      <c r="D85" s="4">
        <v>403.74</v>
      </c>
      <c r="E85" s="4">
        <v>388.77</v>
      </c>
      <c r="F85" s="5">
        <v>3.7078317729231758E-2</v>
      </c>
      <c r="G85" s="5">
        <v>3.7078317729231758E-2</v>
      </c>
    </row>
    <row r="86" spans="1:7" x14ac:dyDescent="0.35">
      <c r="A86" s="3">
        <v>44133</v>
      </c>
      <c r="B86" s="4">
        <v>393.98</v>
      </c>
      <c r="C86" s="4">
        <v>380.87</v>
      </c>
      <c r="D86" s="4">
        <v>388.77</v>
      </c>
      <c r="E86" s="4">
        <v>387.54</v>
      </c>
      <c r="F86" s="5">
        <v>3.163824369164181E-3</v>
      </c>
      <c r="G86" s="5">
        <v>3.163824369164181E-3</v>
      </c>
    </row>
    <row r="87" spans="1:7" x14ac:dyDescent="0.35">
      <c r="A87" s="3">
        <v>44134</v>
      </c>
      <c r="B87" s="4">
        <v>392.05</v>
      </c>
      <c r="C87" s="4">
        <v>374.08</v>
      </c>
      <c r="D87" s="4">
        <v>387.54</v>
      </c>
      <c r="E87" s="4">
        <v>382.76</v>
      </c>
      <c r="F87" s="5">
        <v>1.2334210662125256E-2</v>
      </c>
      <c r="G87" s="5">
        <v>1.2334210662125256E-2</v>
      </c>
    </row>
    <row r="88" spans="1:7" x14ac:dyDescent="0.35">
      <c r="A88" s="3">
        <v>44135</v>
      </c>
      <c r="B88" s="4">
        <v>392.57</v>
      </c>
      <c r="C88" s="4">
        <v>385.67</v>
      </c>
      <c r="D88" s="4">
        <v>382.83</v>
      </c>
      <c r="E88" s="4">
        <v>386.77</v>
      </c>
      <c r="F88" s="5">
        <v>-1.0476538823283477E-2</v>
      </c>
      <c r="G88" s="5">
        <v>-1.0476538823283477E-2</v>
      </c>
    </row>
    <row r="89" spans="1:7" x14ac:dyDescent="0.35">
      <c r="A89" s="3">
        <v>44136</v>
      </c>
      <c r="B89" s="4">
        <v>397.71</v>
      </c>
      <c r="C89" s="4">
        <v>385.6</v>
      </c>
      <c r="D89" s="4">
        <v>386.77</v>
      </c>
      <c r="E89" s="4">
        <v>396.75</v>
      </c>
      <c r="F89" s="5">
        <v>-2.5803449078263707E-2</v>
      </c>
      <c r="G89" s="5">
        <v>-2.5803449078263707E-2</v>
      </c>
    </row>
    <row r="90" spans="1:7" x14ac:dyDescent="0.35">
      <c r="A90" s="3">
        <v>44137</v>
      </c>
      <c r="B90" s="4">
        <v>404.39</v>
      </c>
      <c r="C90" s="4">
        <v>378.67</v>
      </c>
      <c r="D90" s="4">
        <v>396.49</v>
      </c>
      <c r="E90" s="4">
        <v>383.61</v>
      </c>
      <c r="F90" s="5">
        <v>3.3119092627599156E-2</v>
      </c>
      <c r="G90" s="5">
        <v>3.3119092627599156E-2</v>
      </c>
    </row>
    <row r="91" spans="1:7" x14ac:dyDescent="0.35">
      <c r="A91" s="3">
        <v>44138</v>
      </c>
      <c r="B91" s="4">
        <v>398.14</v>
      </c>
      <c r="C91" s="4">
        <v>388.18</v>
      </c>
      <c r="D91" s="4">
        <v>383.66</v>
      </c>
      <c r="E91" s="4">
        <v>388.18</v>
      </c>
      <c r="F91" s="5">
        <v>-1.191314095044449E-2</v>
      </c>
      <c r="G91" s="5">
        <v>-1.191314095044449E-2</v>
      </c>
    </row>
    <row r="92" spans="1:7" x14ac:dyDescent="0.35">
      <c r="A92" s="3">
        <v>44139</v>
      </c>
      <c r="B92" s="4">
        <v>388.59</v>
      </c>
      <c r="C92" s="4">
        <v>387.48</v>
      </c>
      <c r="D92" s="4">
        <v>388.17</v>
      </c>
      <c r="E92" s="4">
        <v>388.24</v>
      </c>
      <c r="F92" s="5">
        <v>-1.5456746870001759E-4</v>
      </c>
      <c r="G92" s="5">
        <v>-1.5456746870001759E-4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AppSettings</vt:lpstr>
      <vt:lpstr>Portfolio</vt:lpstr>
      <vt:lpstr>SymbolData</vt:lpstr>
      <vt:lpstr>MKR</vt:lpstr>
      <vt:lpstr>AAVE</vt:lpstr>
      <vt:lpstr>SNX</vt:lpstr>
      <vt:lpstr>UNI</vt:lpstr>
      <vt:lpstr>YFI</vt:lpstr>
      <vt:lpstr>COMP</vt:lpstr>
      <vt:lpstr>REN</vt:lpstr>
      <vt:lpstr>LRC</vt:lpstr>
      <vt:lpstr>KNC</vt:lpstr>
      <vt:lpstr>BAL</vt:lpstr>
      <vt:lpstr>REP</vt:lpstr>
      <vt:lpstr>LINK</vt:lpstr>
      <vt:lpstr>BTC</vt:lpstr>
      <vt:lpstr>USDC</vt:lpstr>
      <vt:lpstr>ETH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krugman</dc:creator>
  <cp:lastModifiedBy>krugman</cp:lastModifiedBy>
  <dcterms:created xsi:type="dcterms:W3CDTF">2020-11-02T03:50:38Z</dcterms:created>
  <dcterms:modified xsi:type="dcterms:W3CDTF">2020-11-04T01:00:34Z</dcterms:modified>
</cp:coreProperties>
</file>
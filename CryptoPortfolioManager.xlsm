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d\Desktop\Portfolio Manager\"/>
    </mc:Choice>
  </mc:AlternateContent>
  <xr:revisionPtr revIDLastSave="0" documentId="13_ncr:1_{31CD8296-9C45-4934-B7E5-CC19D8DE060F}" xr6:coauthVersionLast="45" xr6:coauthVersionMax="45" xr10:uidLastSave="{00000000-0000-0000-0000-000000000000}"/>
  <bookViews>
    <workbookView xWindow="-108" yWindow="-108" windowWidth="46296" windowHeight="25536" activeTab="1" xr2:uid="{AC7F7168-EA68-4E10-ADB5-66B98305ED10}"/>
  </bookViews>
  <sheets>
    <sheet name="AppSettings" sheetId="145" r:id="rId1"/>
    <sheet name="Portfolio" sheetId="1" r:id="rId2"/>
    <sheet name="SymbolData" sheetId="6" r:id="rId3"/>
    <sheet name="MKR" sheetId="218" state="hidden" r:id="rId4"/>
    <sheet name="SNX" sheetId="220" state="hidden" r:id="rId5"/>
    <sheet name="UNI" sheetId="221" state="hidden" r:id="rId6"/>
    <sheet name="YFI" sheetId="222" state="hidden" r:id="rId7"/>
    <sheet name="COMP" sheetId="223" state="hidden" r:id="rId8"/>
    <sheet name="REN" sheetId="224" state="hidden" r:id="rId9"/>
    <sheet name="LRC" sheetId="225" state="hidden" r:id="rId10"/>
    <sheet name="KNC" sheetId="226" state="hidden" r:id="rId11"/>
    <sheet name="BAL" sheetId="227" state="hidden" r:id="rId12"/>
    <sheet name="REP" sheetId="228" state="hidden" r:id="rId13"/>
    <sheet name="LINK" sheetId="229" state="hidden" r:id="rId14"/>
    <sheet name="BTC" sheetId="230" state="hidden" r:id="rId15"/>
    <sheet name="USDC" sheetId="231" state="hidden" r:id="rId16"/>
    <sheet name="ETH" sheetId="242" state="hidden" r:id="rId17"/>
    <sheet name="AAVE" sheetId="243" state="hidden" r:id="rId18"/>
    <sheet name="WBTC" sheetId="244" state="hidden" r:id="rId19"/>
    <sheet name="FARM" sheetId="246" state="hidden" r:id="rId20"/>
    <sheet name="DPI" sheetId="247" state="hidden" r:id="rId21"/>
    <sheet name="SUSHI" sheetId="248" state="hidden" r:id="rId2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3" i="1" l="1"/>
  <c r="L13" i="1"/>
  <c r="M5" i="1" l="1"/>
  <c r="G5" i="1"/>
  <c r="S5" i="1"/>
  <c r="M12" i="1"/>
  <c r="L12" i="1"/>
  <c r="G12" i="1"/>
  <c r="F12" i="1"/>
  <c r="C6" i="1" l="1"/>
  <c r="M9" i="1"/>
  <c r="M8" i="1"/>
  <c r="M7" i="1"/>
  <c r="M6" i="1"/>
  <c r="G6" i="1"/>
  <c r="G9" i="1"/>
  <c r="G8" i="1"/>
  <c r="G7" i="1"/>
  <c r="S8" i="1"/>
  <c r="S9" i="1"/>
  <c r="C5" i="1" l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S12" i="1"/>
  <c r="R12" i="1"/>
  <c r="S6" i="1" l="1"/>
  <c r="C3" i="1" s="1"/>
  <c r="S7" i="1"/>
  <c r="C4" i="1" s="1"/>
</calcChain>
</file>

<file path=xl/sharedStrings.xml><?xml version="1.0" encoding="utf-8"?>
<sst xmlns="http://schemas.openxmlformats.org/spreadsheetml/2006/main" count="244" uniqueCount="51">
  <si>
    <t>Name</t>
  </si>
  <si>
    <t>Beta</t>
  </si>
  <si>
    <t>MKR</t>
  </si>
  <si>
    <t>AAVE</t>
  </si>
  <si>
    <t>SNX</t>
  </si>
  <si>
    <t>UNI</t>
  </si>
  <si>
    <t>YFI</t>
  </si>
  <si>
    <t>COMP</t>
  </si>
  <si>
    <t>REN</t>
  </si>
  <si>
    <t>LRC</t>
  </si>
  <si>
    <t>KNC</t>
  </si>
  <si>
    <t>BAL</t>
  </si>
  <si>
    <t>REP</t>
  </si>
  <si>
    <t>Symbol</t>
  </si>
  <si>
    <t>ETH</t>
  </si>
  <si>
    <t>DPI</t>
  </si>
  <si>
    <t>Date</t>
  </si>
  <si>
    <t>Open</t>
  </si>
  <si>
    <t>High</t>
  </si>
  <si>
    <t>Low</t>
  </si>
  <si>
    <t>Close</t>
  </si>
  <si>
    <t>% Change</t>
  </si>
  <si>
    <t>Components</t>
  </si>
  <si>
    <t>LINK</t>
  </si>
  <si>
    <t>BTC</t>
  </si>
  <si>
    <t>Beta wAvg</t>
  </si>
  <si>
    <t>Corr. wAvg</t>
  </si>
  <si>
    <t>Benchmark Asset</t>
  </si>
  <si>
    <t>Calculation Period</t>
  </si>
  <si>
    <t>Total Alloc.</t>
  </si>
  <si>
    <t>Yield</t>
  </si>
  <si>
    <t>Yield (APY)</t>
  </si>
  <si>
    <t>Index Strategy</t>
  </si>
  <si>
    <t>Portfolio</t>
  </si>
  <si>
    <t>Corr.</t>
  </si>
  <si>
    <t>Portfolio Beta Limit</t>
  </si>
  <si>
    <t>Portfolio Corr. Limit</t>
  </si>
  <si>
    <t>Portfolio Size</t>
  </si>
  <si>
    <t>Portfolio Alloc. %</t>
  </si>
  <si>
    <t>Portfolio Alloc. $</t>
  </si>
  <si>
    <t>Alloc.</t>
  </si>
  <si>
    <t>Portfolio Yield Target</t>
  </si>
  <si>
    <t>Symbols</t>
  </si>
  <si>
    <t>Benchmark % Change</t>
  </si>
  <si>
    <t>USDC</t>
  </si>
  <si>
    <t>Stablecoin</t>
  </si>
  <si>
    <t>General Holdings</t>
  </si>
  <si>
    <t>Utc Offset</t>
  </si>
  <si>
    <t>Last Update</t>
  </si>
  <si>
    <t>WBTC</t>
  </si>
  <si>
    <t>SUSHI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</si>
</sst>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mm/dd/yyyy"/>
    <numFmt numFmtId="165" formatCode="&quot;$&quot;#,##0.00"/>
    <numFmt numFmtId="166" formatCode="&quot;$&quot;#,##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57">
    <xf numFmtId="0" fontId="0" fillId="0" borderId="0" xfId="0"/>
    <xf numFmtId="0" fontId="2" fillId="0" borderId="0" xfId="0" applyFont="1"/>
    <xf numFmtId="0" fontId="3" fillId="0" borderId="0" xfId="2"/>
    <xf numFmtId="164" fontId="0" fillId="0" borderId="0" xfId="0" applyNumberFormat="1"/>
    <xf numFmtId="165" fontId="0" fillId="0" borderId="0" xfId="0" applyNumberFormat="1"/>
    <xf numFmtId="10" fontId="0" fillId="0" borderId="0" xfId="0" applyNumberFormat="1"/>
    <xf numFmtId="2" fontId="0" fillId="0" borderId="0" xfId="0" applyNumberFormat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0" fillId="3" borderId="2" xfId="0" applyFill="1" applyBorder="1"/>
    <xf numFmtId="0" fontId="0" fillId="2" borderId="2" xfId="0" applyFill="1" applyBorder="1"/>
    <xf numFmtId="9" fontId="0" fillId="0" borderId="0" xfId="1" applyFont="1" applyAlignment="1">
      <alignment horizontal="left"/>
    </xf>
    <xf numFmtId="0" fontId="5" fillId="0" borderId="0" xfId="0" applyFont="1"/>
    <xf numFmtId="166" fontId="0" fillId="0" borderId="0" xfId="3" applyNumberFormat="1" applyFont="1" applyAlignment="1">
      <alignment horizontal="left"/>
    </xf>
    <xf numFmtId="0" fontId="2" fillId="0" borderId="0" xfId="0" applyFont="1" applyAlignment="1">
      <alignment horizontal="left"/>
    </xf>
    <xf numFmtId="0" fontId="7" fillId="0" borderId="0" xfId="0" applyFont="1"/>
    <xf numFmtId="0" fontId="2" fillId="0" borderId="9" xfId="0" applyFont="1" applyBorder="1"/>
    <xf numFmtId="0" fontId="2" fillId="0" borderId="11" xfId="0" applyFont="1" applyBorder="1"/>
    <xf numFmtId="9" fontId="0" fillId="0" borderId="12" xfId="1" applyFont="1" applyBorder="1"/>
    <xf numFmtId="0" fontId="0" fillId="0" borderId="15" xfId="0" applyBorder="1"/>
    <xf numFmtId="2" fontId="0" fillId="0" borderId="16" xfId="0" applyNumberFormat="1" applyBorder="1"/>
    <xf numFmtId="10" fontId="0" fillId="0" borderId="16" xfId="1" applyNumberFormat="1" applyFont="1" applyBorder="1"/>
    <xf numFmtId="9" fontId="0" fillId="0" borderId="17" xfId="1" applyFont="1" applyBorder="1"/>
    <xf numFmtId="0" fontId="0" fillId="0" borderId="13" xfId="0" applyBorder="1"/>
    <xf numFmtId="2" fontId="0" fillId="0" borderId="18" xfId="0" applyNumberFormat="1" applyBorder="1"/>
    <xf numFmtId="10" fontId="0" fillId="0" borderId="18" xfId="1" applyNumberFormat="1" applyFont="1" applyBorder="1"/>
    <xf numFmtId="9" fontId="0" fillId="0" borderId="14" xfId="1" applyFont="1" applyBorder="1"/>
    <xf numFmtId="0" fontId="0" fillId="0" borderId="11" xfId="0" applyBorder="1"/>
    <xf numFmtId="2" fontId="0" fillId="0" borderId="19" xfId="0" applyNumberFormat="1" applyBorder="1"/>
    <xf numFmtId="10" fontId="0" fillId="0" borderId="19" xfId="1" applyNumberFormat="1" applyFont="1" applyBorder="1"/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2" fontId="0" fillId="0" borderId="10" xfId="0" applyNumberFormat="1" applyBorder="1" applyAlignment="1">
      <alignment horizontal="left"/>
    </xf>
    <xf numFmtId="2" fontId="0" fillId="0" borderId="12" xfId="0" applyNumberFormat="1" applyBorder="1" applyAlignment="1">
      <alignment horizontal="left"/>
    </xf>
    <xf numFmtId="9" fontId="0" fillId="0" borderId="12" xfId="1" applyFont="1" applyBorder="1" applyAlignment="1">
      <alignment horizontal="left"/>
    </xf>
    <xf numFmtId="10" fontId="0" fillId="0" borderId="12" xfId="0" applyNumberFormat="1" applyBorder="1" applyAlignment="1">
      <alignment horizontal="left"/>
    </xf>
    <xf numFmtId="0" fontId="2" fillId="0" borderId="13" xfId="0" applyFont="1" applyFill="1" applyBorder="1"/>
    <xf numFmtId="14" fontId="0" fillId="0" borderId="14" xfId="0" applyNumberFormat="1" applyBorder="1" applyAlignment="1">
      <alignment horizontal="left"/>
    </xf>
    <xf numFmtId="0" fontId="2" fillId="3" borderId="1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left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2" fontId="0" fillId="3" borderId="0" xfId="0" applyNumberFormat="1" applyFill="1" applyBorder="1" applyAlignment="1">
      <alignment horizontal="left"/>
    </xf>
    <xf numFmtId="10" fontId="0" fillId="3" borderId="0" xfId="0" applyNumberFormat="1" applyFill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0" fillId="2" borderId="23" xfId="0" applyFill="1" applyBorder="1" applyAlignment="1">
      <alignment horizontal="left"/>
    </xf>
    <xf numFmtId="0" fontId="0" fillId="2" borderId="24" xfId="0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165" fontId="4" fillId="0" borderId="6" xfId="0" applyNumberFormat="1" applyFont="1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165" fontId="4" fillId="0" borderId="8" xfId="0" applyNumberFormat="1" applyFont="1" applyBorder="1" applyAlignment="1">
      <alignment horizontal="center"/>
    </xf>
    <xf numFmtId="10" fontId="0" fillId="2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</cellXfs>
  <cellStyles count="4">
    <cellStyle name="Currency" xfId="3" builtinId="4"/>
    <cellStyle name="Hyperlink" xfId="2" builtinId="8"/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0EE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7</xdr:row>
          <xdr:rowOff>121920</xdr:rowOff>
        </xdr:from>
        <xdr:to>
          <xdr:col>3</xdr:col>
          <xdr:colOff>0</xdr:colOff>
          <xdr:row>10</xdr:row>
          <xdr:rowOff>175260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Portfolio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 press ctrl+shift+Z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962CF-3ADD-48C7-8496-E8CD41113D1F}">
  <sheetPr codeName="Sheet2">
    <tabColor theme="0" tint="-0.14999847407452621"/>
  </sheetPr>
  <dimension ref="A1:D18"/>
  <sheetViews>
    <sheetView workbookViewId="0">
      <selection activeCell="B2" sqref="B2"/>
    </sheetView>
  </sheetViews>
  <sheetFormatPr defaultRowHeight="14.4" x14ac:dyDescent="0.3"/>
  <cols>
    <col min="1" max="1" width="19.6640625" customWidth="1"/>
    <col min="2" max="2" width="12" style="7" customWidth="1"/>
    <col min="3" max="3" width="3.33203125" customWidth="1"/>
  </cols>
  <sheetData>
    <row r="1" spans="1:4" x14ac:dyDescent="0.3">
      <c r="A1" s="1" t="s">
        <v>47</v>
      </c>
      <c r="B1" s="7">
        <v>6</v>
      </c>
      <c r="D1" s="1" t="s">
        <v>42</v>
      </c>
    </row>
    <row r="2" spans="1:4" x14ac:dyDescent="0.3">
      <c r="A2" s="1" t="s">
        <v>27</v>
      </c>
      <c r="B2" s="7" t="s">
        <v>14</v>
      </c>
      <c r="D2" t="s">
        <v>14</v>
      </c>
    </row>
    <row r="3" spans="1:4" x14ac:dyDescent="0.3">
      <c r="A3" s="1" t="s">
        <v>28</v>
      </c>
      <c r="B3" s="8">
        <v>60</v>
      </c>
      <c r="D3" t="s">
        <v>49</v>
      </c>
    </row>
    <row r="4" spans="1:4" x14ac:dyDescent="0.3">
      <c r="A4" s="1" t="s">
        <v>37</v>
      </c>
      <c r="B4" s="13">
        <v>1000000</v>
      </c>
      <c r="D4" t="s">
        <v>2</v>
      </c>
    </row>
    <row r="5" spans="1:4" x14ac:dyDescent="0.3">
      <c r="A5" s="1" t="s">
        <v>35</v>
      </c>
      <c r="B5" s="7">
        <v>2</v>
      </c>
      <c r="D5" t="s">
        <v>3</v>
      </c>
    </row>
    <row r="6" spans="1:4" x14ac:dyDescent="0.3">
      <c r="A6" s="1" t="s">
        <v>36</v>
      </c>
      <c r="B6" s="7">
        <v>0.7</v>
      </c>
      <c r="D6" t="s">
        <v>4</v>
      </c>
    </row>
    <row r="7" spans="1:4" x14ac:dyDescent="0.3">
      <c r="A7" s="1" t="s">
        <v>41</v>
      </c>
      <c r="B7" s="11">
        <v>0.05</v>
      </c>
      <c r="D7" t="s">
        <v>5</v>
      </c>
    </row>
    <row r="8" spans="1:4" x14ac:dyDescent="0.3">
      <c r="A8" s="1"/>
      <c r="D8" t="s">
        <v>6</v>
      </c>
    </row>
    <row r="9" spans="1:4" x14ac:dyDescent="0.3">
      <c r="A9" s="1"/>
      <c r="D9" t="s">
        <v>7</v>
      </c>
    </row>
    <row r="10" spans="1:4" x14ac:dyDescent="0.3">
      <c r="A10" s="1"/>
      <c r="D10" t="s">
        <v>8</v>
      </c>
    </row>
    <row r="11" spans="1:4" x14ac:dyDescent="0.3">
      <c r="A11" s="1"/>
      <c r="D11" t="s">
        <v>9</v>
      </c>
    </row>
    <row r="12" spans="1:4" x14ac:dyDescent="0.3">
      <c r="A12" s="1"/>
      <c r="D12" t="s">
        <v>10</v>
      </c>
    </row>
    <row r="13" spans="1:4" x14ac:dyDescent="0.3">
      <c r="A13" s="1"/>
      <c r="D13" t="s">
        <v>11</v>
      </c>
    </row>
    <row r="14" spans="1:4" x14ac:dyDescent="0.3">
      <c r="A14" s="1"/>
      <c r="D14" t="s">
        <v>12</v>
      </c>
    </row>
    <row r="15" spans="1:4" x14ac:dyDescent="0.3">
      <c r="A15" s="1"/>
      <c r="D15" t="s">
        <v>23</v>
      </c>
    </row>
    <row r="16" spans="1:4" x14ac:dyDescent="0.3">
      <c r="A16" s="1"/>
      <c r="D16" t="s">
        <v>24</v>
      </c>
    </row>
    <row r="17" spans="4:4" x14ac:dyDescent="0.3">
      <c r="D17" t="s">
        <v>44</v>
      </c>
    </row>
    <row r="18" spans="4:4" x14ac:dyDescent="0.3">
      <c r="D18" t="s">
        <v>50</v>
      </c>
    </row>
  </sheetData>
  <dataConsolidate/>
  <dataValidations count="2">
    <dataValidation type="whole" allowBlank="1" showInputMessage="1" showErrorMessage="1" errorTitle="Out of Range" error="Value is outside of range (30 - 120) or not a whole number" prompt="Input whole number between 30 and 120" sqref="B3" xr:uid="{2EAEE404-9885-4414-8756-C0CCA1A7A1E6}">
      <formula1>30</formula1>
      <formula2>120</formula2>
    </dataValidation>
    <dataValidation type="list" allowBlank="1" showInputMessage="1" showErrorMessage="1" sqref="B2" xr:uid="{66B989D5-7276-4AB4-A713-E457F6A37544}">
      <formula1>$D$2:$D$99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6092-657F-4A72-9A61-EBBE4E7C1B16}">
  <sheetPr codeName="Sheet1">
    <tabColor theme="4" tint="0.59999389629810485"/>
  </sheetPr>
  <dimension ref="A1:U27"/>
  <sheetViews>
    <sheetView showGridLines="0" tabSelected="1" zoomScale="108" zoomScaleNormal="100" workbookViewId="0">
      <selection activeCell="V27" sqref="V27"/>
    </sheetView>
  </sheetViews>
  <sheetFormatPr defaultRowHeight="14.4" x14ac:dyDescent="0.3"/>
  <cols>
    <col min="2" max="2" width="11.5546875" customWidth="1"/>
    <col min="3" max="3" width="12" customWidth="1"/>
    <col min="5" max="5" width="9.88671875" customWidth="1"/>
    <col min="6" max="6" width="6.44140625" customWidth="1"/>
    <col min="7" max="7" width="6.5546875" customWidth="1"/>
    <col min="8" max="8" width="9.77734375" customWidth="1"/>
    <col min="9" max="9" width="5.6640625" customWidth="1"/>
    <col min="11" max="11" width="10.21875" customWidth="1"/>
    <col min="12" max="12" width="5.21875" customWidth="1"/>
    <col min="13" max="13" width="5.6640625" customWidth="1"/>
    <col min="14" max="14" width="8.5546875" customWidth="1"/>
    <col min="15" max="15" width="5.21875" customWidth="1"/>
    <col min="17" max="17" width="8.5546875" customWidth="1"/>
    <col min="18" max="18" width="7.21875" customWidth="1"/>
    <col min="19" max="19" width="6.21875" customWidth="1"/>
    <col min="20" max="20" width="8.6640625" customWidth="1"/>
    <col min="21" max="21" width="6" customWidth="1"/>
  </cols>
  <sheetData>
    <row r="1" spans="1:21" ht="15" thickBot="1" x14ac:dyDescent="0.35">
      <c r="A1" s="3"/>
      <c r="B1" s="3"/>
      <c r="C1" s="3"/>
      <c r="P1" s="3"/>
    </row>
    <row r="2" spans="1:21" ht="18.600000000000001" thickBot="1" x14ac:dyDescent="0.4">
      <c r="B2" s="46" t="s">
        <v>33</v>
      </c>
      <c r="C2" s="47"/>
      <c r="D2" s="12"/>
      <c r="E2" s="52" t="s">
        <v>45</v>
      </c>
      <c r="F2" s="53"/>
      <c r="G2" s="53"/>
      <c r="H2" s="53"/>
      <c r="I2" s="54"/>
      <c r="J2" s="12"/>
      <c r="K2" s="52" t="s">
        <v>46</v>
      </c>
      <c r="L2" s="53"/>
      <c r="M2" s="53"/>
      <c r="N2" s="53"/>
      <c r="O2" s="54"/>
      <c r="Q2" s="52" t="s">
        <v>32</v>
      </c>
      <c r="R2" s="53"/>
      <c r="S2" s="53"/>
      <c r="T2" s="53"/>
      <c r="U2" s="54"/>
    </row>
    <row r="3" spans="1:21" x14ac:dyDescent="0.3">
      <c r="B3" s="16" t="s">
        <v>1</v>
      </c>
      <c r="C3" s="33">
        <f>(G6*G4)+(M6*M4)+(S6*S4)/3</f>
        <v>0.59291156085419128</v>
      </c>
      <c r="E3" s="50" t="s">
        <v>0</v>
      </c>
      <c r="F3" s="51"/>
      <c r="G3" s="48" t="s">
        <v>45</v>
      </c>
      <c r="H3" s="48"/>
      <c r="I3" s="49"/>
      <c r="K3" s="50" t="s">
        <v>0</v>
      </c>
      <c r="L3" s="51"/>
      <c r="M3" s="48" t="s">
        <v>46</v>
      </c>
      <c r="N3" s="48"/>
      <c r="O3" s="49"/>
      <c r="Q3" s="50" t="s">
        <v>0</v>
      </c>
      <c r="R3" s="51"/>
      <c r="S3" s="48" t="s">
        <v>15</v>
      </c>
      <c r="T3" s="48"/>
      <c r="U3" s="49"/>
    </row>
    <row r="4" spans="1:21" x14ac:dyDescent="0.3">
      <c r="B4" s="17" t="s">
        <v>34</v>
      </c>
      <c r="C4" s="34">
        <f>(G7*G4)+(M7*M4)+(S7*S4)/3</f>
        <v>0.5803888493927456</v>
      </c>
      <c r="E4" s="50" t="s">
        <v>38</v>
      </c>
      <c r="F4" s="51"/>
      <c r="G4" s="55">
        <v>0.125</v>
      </c>
      <c r="H4" s="55"/>
      <c r="I4" s="10"/>
      <c r="K4" s="50" t="s">
        <v>38</v>
      </c>
      <c r="L4" s="51"/>
      <c r="M4" s="55">
        <v>0.625</v>
      </c>
      <c r="N4" s="55"/>
      <c r="O4" s="10"/>
      <c r="Q4" s="50" t="s">
        <v>38</v>
      </c>
      <c r="R4" s="51"/>
      <c r="S4" s="55">
        <v>0.25</v>
      </c>
      <c r="T4" s="55"/>
      <c r="U4" s="10"/>
    </row>
    <row r="5" spans="1:21" x14ac:dyDescent="0.3">
      <c r="B5" s="17" t="s">
        <v>30</v>
      </c>
      <c r="C5" s="35">
        <f>(G8*G4)+(M8*M4)+(S8*S4)/3</f>
        <v>9.9999999999999978E-2</v>
      </c>
      <c r="E5" s="39" t="s">
        <v>39</v>
      </c>
      <c r="F5" s="40"/>
      <c r="G5" s="56">
        <f>G4*AppSettings!B4</f>
        <v>125000</v>
      </c>
      <c r="H5" s="56"/>
      <c r="I5" s="9"/>
      <c r="K5" s="39" t="s">
        <v>39</v>
      </c>
      <c r="L5" s="40"/>
      <c r="M5" s="56">
        <f>M4*AppSettings!B4</f>
        <v>625000</v>
      </c>
      <c r="N5" s="56"/>
      <c r="O5" s="9"/>
      <c r="Q5" s="39" t="s">
        <v>39</v>
      </c>
      <c r="R5" s="40"/>
      <c r="S5" s="56">
        <f>S4*AppSettings!B4</f>
        <v>250000</v>
      </c>
      <c r="T5" s="56"/>
      <c r="U5" s="9"/>
    </row>
    <row r="6" spans="1:21" x14ac:dyDescent="0.3">
      <c r="B6" s="17" t="s">
        <v>29</v>
      </c>
      <c r="C6" s="36">
        <f>SUM(S4,G4,M4)</f>
        <v>1</v>
      </c>
      <c r="E6" s="39" t="s">
        <v>25</v>
      </c>
      <c r="F6" s="40"/>
      <c r="G6" s="44">
        <f>SUMPRODUCT(F12:F22,H12:H22)/SUM(H12:H22)</f>
        <v>-6.5245094490272264E-4</v>
      </c>
      <c r="H6" s="44"/>
      <c r="I6" s="9"/>
      <c r="K6" s="39" t="s">
        <v>25</v>
      </c>
      <c r="L6" s="40"/>
      <c r="M6" s="44">
        <f>SUMPRODUCT(L12:L22,N12:N22)/SUM(N12:N22)</f>
        <v>0.82249507910699815</v>
      </c>
      <c r="N6" s="44"/>
      <c r="O6" s="9"/>
      <c r="Q6" s="39" t="s">
        <v>25</v>
      </c>
      <c r="R6" s="40"/>
      <c r="S6" s="44">
        <f>SUMPRODUCT(R12:R22,T12:T22)/SUM(T12:T22)</f>
        <v>0.94720431336516286</v>
      </c>
      <c r="T6" s="44"/>
      <c r="U6" s="9"/>
    </row>
    <row r="7" spans="1:21" ht="15" thickBot="1" x14ac:dyDescent="0.35">
      <c r="B7" s="37" t="s">
        <v>48</v>
      </c>
      <c r="C7" s="38">
        <v>44164</v>
      </c>
      <c r="E7" s="39" t="s">
        <v>26</v>
      </c>
      <c r="F7" s="40"/>
      <c r="G7" s="44">
        <f>SUMPRODUCT(G12:G22,H12:H22)/SUM(H12:H22)</f>
        <v>-4.3154956961780962E-2</v>
      </c>
      <c r="H7" s="44"/>
      <c r="I7" s="9"/>
      <c r="K7" s="39" t="s">
        <v>26</v>
      </c>
      <c r="L7" s="40"/>
      <c r="M7" s="44">
        <f>SUMPRODUCT(M12:M22,N12:N22)/SUM(N12:N22)</f>
        <v>0.87000109412995652</v>
      </c>
      <c r="N7" s="44"/>
      <c r="O7" s="9"/>
      <c r="Q7" s="39" t="s">
        <v>26</v>
      </c>
      <c r="R7" s="40"/>
      <c r="S7" s="44">
        <f>SUMPRODUCT(S12:S22,T12:T22)/SUM(T12:T22)</f>
        <v>0.50439042218094476</v>
      </c>
      <c r="T7" s="44"/>
      <c r="U7" s="9"/>
    </row>
    <row r="8" spans="1:21" x14ac:dyDescent="0.3">
      <c r="E8" s="39" t="s">
        <v>31</v>
      </c>
      <c r="F8" s="40"/>
      <c r="G8" s="45">
        <f>SUMPRODUCT(I12:I22,H12:H22)/SUM(H12:H22)</f>
        <v>0.2</v>
      </c>
      <c r="H8" s="45"/>
      <c r="I8" s="9"/>
      <c r="K8" s="39" t="s">
        <v>31</v>
      </c>
      <c r="L8" s="40"/>
      <c r="M8" s="45">
        <f>SUMPRODUCT(O12:O22,N12:N22)/SUM(N12:N22)</f>
        <v>0.11999999999999998</v>
      </c>
      <c r="N8" s="45"/>
      <c r="O8" s="9"/>
      <c r="Q8" s="39" t="s">
        <v>31</v>
      </c>
      <c r="R8" s="40"/>
      <c r="S8" s="45">
        <f>SUMPRODUCT(U12:U22,T12:T22)/SUM(T12:T22)</f>
        <v>0</v>
      </c>
      <c r="T8" s="45"/>
      <c r="U8" s="9"/>
    </row>
    <row r="9" spans="1:21" x14ac:dyDescent="0.3">
      <c r="E9" s="39" t="s">
        <v>29</v>
      </c>
      <c r="F9" s="40"/>
      <c r="G9" s="45">
        <f>SUM(H12:H22)</f>
        <v>1</v>
      </c>
      <c r="H9" s="45"/>
      <c r="I9" s="9"/>
      <c r="K9" s="39" t="s">
        <v>29</v>
      </c>
      <c r="L9" s="40"/>
      <c r="M9" s="45">
        <f>SUM(N12:N22)</f>
        <v>0.99990000000000001</v>
      </c>
      <c r="N9" s="45"/>
      <c r="O9" s="9"/>
      <c r="Q9" s="39" t="s">
        <v>29</v>
      </c>
      <c r="R9" s="40"/>
      <c r="S9" s="45">
        <f>SUM(T12:T22)</f>
        <v>0.99680000000000002</v>
      </c>
      <c r="T9" s="45"/>
      <c r="U9" s="9"/>
    </row>
    <row r="10" spans="1:21" ht="15" thickBot="1" x14ac:dyDescent="0.35">
      <c r="E10" s="41" t="s">
        <v>22</v>
      </c>
      <c r="F10" s="42"/>
      <c r="G10" s="42"/>
      <c r="H10" s="42"/>
      <c r="I10" s="43"/>
      <c r="K10" s="41" t="s">
        <v>22</v>
      </c>
      <c r="L10" s="42"/>
      <c r="M10" s="42"/>
      <c r="N10" s="42"/>
      <c r="O10" s="43"/>
      <c r="Q10" s="41" t="s">
        <v>22</v>
      </c>
      <c r="R10" s="42"/>
      <c r="S10" s="42"/>
      <c r="T10" s="42"/>
      <c r="U10" s="43"/>
    </row>
    <row r="11" spans="1:21" ht="15" thickBot="1" x14ac:dyDescent="0.35">
      <c r="E11" s="30" t="s">
        <v>13</v>
      </c>
      <c r="F11" s="31" t="s">
        <v>1</v>
      </c>
      <c r="G11" s="31" t="s">
        <v>34</v>
      </c>
      <c r="H11" s="31" t="s">
        <v>40</v>
      </c>
      <c r="I11" s="32" t="s">
        <v>30</v>
      </c>
      <c r="K11" s="30" t="s">
        <v>13</v>
      </c>
      <c r="L11" s="31" t="s">
        <v>1</v>
      </c>
      <c r="M11" s="31" t="s">
        <v>34</v>
      </c>
      <c r="N11" s="31" t="s">
        <v>40</v>
      </c>
      <c r="O11" s="32" t="s">
        <v>30</v>
      </c>
      <c r="Q11" s="30" t="s">
        <v>13</v>
      </c>
      <c r="R11" s="31" t="s">
        <v>1</v>
      </c>
      <c r="S11" s="31" t="s">
        <v>34</v>
      </c>
      <c r="T11" s="31" t="s">
        <v>40</v>
      </c>
      <c r="U11" s="32" t="s">
        <v>30</v>
      </c>
    </row>
    <row r="12" spans="1:21" x14ac:dyDescent="0.3">
      <c r="E12" s="19" t="s">
        <v>44</v>
      </c>
      <c r="F12" s="20">
        <f>SymbolData!B17</f>
        <v>-6.5245094490272264E-4</v>
      </c>
      <c r="G12" s="20">
        <f>SymbolData!C17</f>
        <v>-4.3154956961780962E-2</v>
      </c>
      <c r="H12" s="21">
        <v>1</v>
      </c>
      <c r="I12" s="22">
        <v>0.2</v>
      </c>
      <c r="K12" s="19" t="s">
        <v>14</v>
      </c>
      <c r="L12" s="20">
        <f>SymbolData!B2</f>
        <v>1.0000000000000002</v>
      </c>
      <c r="M12" s="20">
        <f>SymbolData!C2</f>
        <v>1</v>
      </c>
      <c r="N12" s="21">
        <v>0.66659999999999997</v>
      </c>
      <c r="O12" s="22">
        <v>0.12</v>
      </c>
      <c r="Q12" s="19" t="s">
        <v>2</v>
      </c>
      <c r="R12" s="20">
        <f>SymbolData!B4</f>
        <v>0.75755352229341066</v>
      </c>
      <c r="S12" s="20">
        <f>SymbolData!C4</f>
        <v>0.81716250971356386</v>
      </c>
      <c r="T12" s="21">
        <v>0.109</v>
      </c>
      <c r="U12" s="22">
        <v>0</v>
      </c>
    </row>
    <row r="13" spans="1:21" ht="15" thickBot="1" x14ac:dyDescent="0.35">
      <c r="E13" s="23"/>
      <c r="F13" s="24"/>
      <c r="G13" s="24"/>
      <c r="H13" s="25"/>
      <c r="I13" s="26"/>
      <c r="K13" s="23" t="s">
        <v>49</v>
      </c>
      <c r="L13" s="24">
        <f>SymbolData!B3</f>
        <v>0.46748523732099417</v>
      </c>
      <c r="M13" s="24">
        <f>SymbolData!C3</f>
        <v>0.61000328238986978</v>
      </c>
      <c r="N13" s="25">
        <v>0.33329999999999999</v>
      </c>
      <c r="O13" s="26">
        <v>0.12</v>
      </c>
      <c r="Q13" s="27" t="s">
        <v>3</v>
      </c>
      <c r="R13" s="28">
        <f>SymbolData!B5</f>
        <v>0.77626248684929244</v>
      </c>
      <c r="S13" s="28">
        <f>SymbolData!C5</f>
        <v>0.31591953663484756</v>
      </c>
      <c r="T13" s="29">
        <v>0.16</v>
      </c>
      <c r="U13" s="18">
        <v>0</v>
      </c>
    </row>
    <row r="14" spans="1:21" x14ac:dyDescent="0.3">
      <c r="Q14" s="27" t="s">
        <v>4</v>
      </c>
      <c r="R14" s="28">
        <f>SymbolData!B6</f>
        <v>1.0784004054186107</v>
      </c>
      <c r="S14" s="28">
        <f>SymbolData!C6</f>
        <v>0.54600780430811346</v>
      </c>
      <c r="T14" s="29">
        <v>0.122</v>
      </c>
      <c r="U14" s="18">
        <v>0</v>
      </c>
    </row>
    <row r="15" spans="1:21" x14ac:dyDescent="0.3">
      <c r="Q15" s="27" t="s">
        <v>5</v>
      </c>
      <c r="R15" s="28">
        <f>SymbolData!B7</f>
        <v>1.2134725515158999</v>
      </c>
      <c r="S15" s="28">
        <f>SymbolData!C7</f>
        <v>0.53338336617661108</v>
      </c>
      <c r="T15" s="29">
        <v>0.155</v>
      </c>
      <c r="U15" s="18">
        <v>0</v>
      </c>
    </row>
    <row r="16" spans="1:21" x14ac:dyDescent="0.3">
      <c r="Q16" s="27" t="s">
        <v>6</v>
      </c>
      <c r="R16" s="28">
        <f>SymbolData!B8</f>
        <v>0.87256174824160726</v>
      </c>
      <c r="S16" s="28">
        <f>SymbolData!C8</f>
        <v>0.31554423643483676</v>
      </c>
      <c r="T16" s="29">
        <v>0.16</v>
      </c>
      <c r="U16" s="18">
        <v>0</v>
      </c>
    </row>
    <row r="17" spans="2:21" x14ac:dyDescent="0.3">
      <c r="Q17" s="27" t="s">
        <v>7</v>
      </c>
      <c r="R17" s="28">
        <f>SymbolData!B9</f>
        <v>0.93414946754150263</v>
      </c>
      <c r="S17" s="28">
        <f>SymbolData!C9</f>
        <v>0.65937090777830187</v>
      </c>
      <c r="T17" s="29">
        <v>9.2999999999999999E-2</v>
      </c>
      <c r="U17" s="18">
        <v>0</v>
      </c>
    </row>
    <row r="18" spans="2:21" x14ac:dyDescent="0.3">
      <c r="Q18" s="27" t="s">
        <v>8</v>
      </c>
      <c r="R18" s="28">
        <f>SymbolData!B10</f>
        <v>1.0476844597772239</v>
      </c>
      <c r="S18" s="28">
        <f>SymbolData!C10</f>
        <v>0.40340768440755653</v>
      </c>
      <c r="T18" s="29">
        <v>6.2E-2</v>
      </c>
      <c r="U18" s="18">
        <v>0</v>
      </c>
    </row>
    <row r="19" spans="2:21" x14ac:dyDescent="0.3">
      <c r="Q19" s="27" t="s">
        <v>9</v>
      </c>
      <c r="R19" s="28">
        <f>SymbolData!B11</f>
        <v>0.99237934550520213</v>
      </c>
      <c r="S19" s="28">
        <f>SymbolData!C11</f>
        <v>0.45956087723121863</v>
      </c>
      <c r="T19" s="29">
        <v>5.1499999999999997E-2</v>
      </c>
      <c r="U19" s="18">
        <v>0</v>
      </c>
    </row>
    <row r="20" spans="2:21" x14ac:dyDescent="0.3">
      <c r="Q20" s="27" t="s">
        <v>10</v>
      </c>
      <c r="R20" s="28">
        <f>SymbolData!B12</f>
        <v>0.96721467434062358</v>
      </c>
      <c r="S20" s="28">
        <f>SymbolData!C12</f>
        <v>0.74010426363853532</v>
      </c>
      <c r="T20" s="29">
        <v>4.1399999999999999E-2</v>
      </c>
      <c r="U20" s="18">
        <v>0</v>
      </c>
    </row>
    <row r="21" spans="2:21" x14ac:dyDescent="0.3">
      <c r="Q21" s="27" t="s">
        <v>11</v>
      </c>
      <c r="R21" s="28">
        <f>SymbolData!B13</f>
        <v>1.0122653054331472</v>
      </c>
      <c r="S21" s="28">
        <f>SymbolData!C13</f>
        <v>0.58037190303481878</v>
      </c>
      <c r="T21" s="29">
        <v>2.52E-2</v>
      </c>
      <c r="U21" s="18">
        <v>0</v>
      </c>
    </row>
    <row r="22" spans="2:21" ht="15" thickBot="1" x14ac:dyDescent="0.35">
      <c r="Q22" s="23" t="s">
        <v>12</v>
      </c>
      <c r="R22" s="24">
        <f>SymbolData!B14</f>
        <v>0.54481958057350843</v>
      </c>
      <c r="S22" s="24">
        <f>SymbolData!C14</f>
        <v>0.45865746846904515</v>
      </c>
      <c r="T22" s="25">
        <v>1.77E-2</v>
      </c>
      <c r="U22" s="26">
        <v>0</v>
      </c>
    </row>
    <row r="23" spans="2:21" x14ac:dyDescent="0.3">
      <c r="Q23" s="2"/>
    </row>
    <row r="27" spans="2:21" x14ac:dyDescent="0.3">
      <c r="B27" s="15"/>
    </row>
  </sheetData>
  <mergeCells count="49">
    <mergeCell ref="Q9:R9"/>
    <mergeCell ref="S4:T4"/>
    <mergeCell ref="S5:T5"/>
    <mergeCell ref="S6:T6"/>
    <mergeCell ref="S7:T7"/>
    <mergeCell ref="S8:T8"/>
    <mergeCell ref="S9:T9"/>
    <mergeCell ref="Q6:R6"/>
    <mergeCell ref="Q7:R7"/>
    <mergeCell ref="Q4:R4"/>
    <mergeCell ref="Q8:R8"/>
    <mergeCell ref="Q3:R3"/>
    <mergeCell ref="Q5:R5"/>
    <mergeCell ref="Q2:U2"/>
    <mergeCell ref="E2:I2"/>
    <mergeCell ref="E3:F3"/>
    <mergeCell ref="E4:F4"/>
    <mergeCell ref="G4:H4"/>
    <mergeCell ref="E5:F5"/>
    <mergeCell ref="G5:H5"/>
    <mergeCell ref="M4:N4"/>
    <mergeCell ref="M5:N5"/>
    <mergeCell ref="K3:L3"/>
    <mergeCell ref="K4:L4"/>
    <mergeCell ref="M3:O3"/>
    <mergeCell ref="S3:U3"/>
    <mergeCell ref="K2:O2"/>
    <mergeCell ref="B2:C2"/>
    <mergeCell ref="E6:F6"/>
    <mergeCell ref="G6:H6"/>
    <mergeCell ref="E7:F7"/>
    <mergeCell ref="G7:H7"/>
    <mergeCell ref="G3:I3"/>
    <mergeCell ref="K5:L5"/>
    <mergeCell ref="E10:I10"/>
    <mergeCell ref="Q10:U10"/>
    <mergeCell ref="K10:O10"/>
    <mergeCell ref="M6:N6"/>
    <mergeCell ref="K7:L7"/>
    <mergeCell ref="M7:N7"/>
    <mergeCell ref="K8:L8"/>
    <mergeCell ref="M8:N8"/>
    <mergeCell ref="K6:L6"/>
    <mergeCell ref="K9:L9"/>
    <mergeCell ref="E8:F8"/>
    <mergeCell ref="E9:F9"/>
    <mergeCell ref="M9:N9"/>
    <mergeCell ref="G8:H8"/>
    <mergeCell ref="G9:H9"/>
  </mergeCells>
  <conditionalFormatting sqref="C6">
    <cfRule type="cellIs" dxfId="11" priority="5" operator="equal">
      <formula>1</formula>
    </cfRule>
    <cfRule type="cellIs" dxfId="10" priority="6" operator="greaterThan">
      <formula>1</formula>
    </cfRule>
    <cfRule type="cellIs" dxfId="9" priority="13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rocessSymbolData">
                <anchor moveWithCells="1" sizeWithCells="1">
                  <from>
                    <xdr:col>0</xdr:col>
                    <xdr:colOff>594360</xdr:colOff>
                    <xdr:row>7</xdr:row>
                    <xdr:rowOff>121920</xdr:rowOff>
                  </from>
                  <to>
                    <xdr:col>3</xdr:col>
                    <xdr:colOff>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941EC451-1485-4F57-BC35-9167943468F6}">
            <xm:f>AppSettings!$B$7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FCA4E5E4-6BC1-4BF0-BC2C-3088364E64E1}">
            <xm:f>AppSettings!$B$7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cellIs" priority="2" operator="equal" id="{18B75187-0975-4DA2-A6EE-2EC834D338A2}">
            <xm:f>AppSettings!$B$5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operator="lessThan" id="{0ADA33AA-F24F-482F-ABED-C744D41D617F}">
            <xm:f>AppSettings!$B$5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operator="greaterThan" id="{E1A8CC27-38BC-4018-9B9F-467D8A59AA22}">
            <xm:f>AppSettings!$B$5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</xm:sqref>
        </x14:conditionalFormatting>
        <x14:conditionalFormatting xmlns:xm="http://schemas.microsoft.com/office/excel/2006/main">
          <x14:cfRule type="cellIs" priority="1" operator="equal" id="{2AD5CC18-4105-4749-8454-011A5DE81125}">
            <xm:f>AppSettings!$B$6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9" operator="lessThan" id="{8829B939-4046-4697-AA2C-F6F1B0927E31}">
            <xm:f>AppSettings!$B$6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1" operator="greaterThan" id="{BDB5D7F6-17FC-4666-9BD2-A2F2DAA30B1F}">
            <xm:f>AppSettings!$B$6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C4</xm:sqref>
        </x14:conditionalFormatting>
        <x14:conditionalFormatting xmlns:xm="http://schemas.microsoft.com/office/excel/2006/main">
          <x14:cfRule type="cellIs" priority="7" operator="lessThan" id="{2A24BD22-88A2-4C39-821A-C2D2EC144087}">
            <xm:f>AppSettings!$B$7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391FAE-16AB-407F-A20E-6E9146A22FAD}">
          <x14:formula1>
            <xm:f>AppSettings!$D$2:$D$99</xm:f>
          </x14:formula1>
          <xm:sqref>Q12:Q22 E12:E13 K12:K13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0DDBA-5C5B-4EA0-AB9C-7239AD91A967}">
  <sheetPr codeName="Sheet6">
    <tabColor theme="9" tint="0.59999389629810485"/>
  </sheetPr>
  <dimension ref="A1:C18"/>
  <sheetViews>
    <sheetView workbookViewId="0">
      <selection activeCell="C57" sqref="C57"/>
    </sheetView>
  </sheetViews>
  <sheetFormatPr defaultRowHeight="14.4" x14ac:dyDescent="0.3"/>
  <cols>
    <col min="2" max="2" width="6.77734375" style="6" customWidth="1"/>
    <col min="3" max="3" width="7.5546875" style="6" customWidth="1"/>
  </cols>
  <sheetData>
    <row r="1" spans="1:3" x14ac:dyDescent="0.3">
      <c r="A1" s="1" t="s">
        <v>42</v>
      </c>
      <c r="B1" s="14" t="s">
        <v>1</v>
      </c>
      <c r="C1" s="1" t="s">
        <v>34</v>
      </c>
    </row>
    <row r="2" spans="1:3" x14ac:dyDescent="0.3">
      <c r="A2" t="s">
        <v>14</v>
      </c>
      <c r="B2" s="6">
        <v>1.0000000000000002</v>
      </c>
      <c r="C2" s="6">
        <v>1</v>
      </c>
    </row>
    <row r="3" spans="1:3" x14ac:dyDescent="0.3">
      <c r="A3" t="s">
        <v>49</v>
      </c>
      <c r="B3" s="6">
        <v>0.46748523732099417</v>
      </c>
      <c r="C3" s="6">
        <v>0.61000328238986978</v>
      </c>
    </row>
    <row r="4" spans="1:3" x14ac:dyDescent="0.3">
      <c r="A4" t="s">
        <v>2</v>
      </c>
      <c r="B4" s="6">
        <v>0.75755352229341066</v>
      </c>
      <c r="C4" s="6">
        <v>0.81716250971356386</v>
      </c>
    </row>
    <row r="5" spans="1:3" x14ac:dyDescent="0.3">
      <c r="A5" t="s">
        <v>3</v>
      </c>
      <c r="B5" s="6">
        <v>0.77626248684929244</v>
      </c>
      <c r="C5" s="6">
        <v>0.31591953663484756</v>
      </c>
    </row>
    <row r="6" spans="1:3" x14ac:dyDescent="0.3">
      <c r="A6" t="s">
        <v>4</v>
      </c>
      <c r="B6" s="6">
        <v>1.0784004054186107</v>
      </c>
      <c r="C6" s="6">
        <v>0.54600780430811346</v>
      </c>
    </row>
    <row r="7" spans="1:3" x14ac:dyDescent="0.3">
      <c r="A7" t="s">
        <v>5</v>
      </c>
      <c r="B7" s="6">
        <v>1.2134725515158999</v>
      </c>
      <c r="C7" s="6">
        <v>0.53338336617661108</v>
      </c>
    </row>
    <row r="8" spans="1:3" x14ac:dyDescent="0.3">
      <c r="A8" t="s">
        <v>6</v>
      </c>
      <c r="B8" s="6">
        <v>0.87256174824160726</v>
      </c>
      <c r="C8" s="6">
        <v>0.31554423643483676</v>
      </c>
    </row>
    <row r="9" spans="1:3" x14ac:dyDescent="0.3">
      <c r="A9" t="s">
        <v>7</v>
      </c>
      <c r="B9" s="6">
        <v>0.93414946754150263</v>
      </c>
      <c r="C9" s="6">
        <v>0.65937090777830187</v>
      </c>
    </row>
    <row r="10" spans="1:3" x14ac:dyDescent="0.3">
      <c r="A10" t="s">
        <v>8</v>
      </c>
      <c r="B10" s="6">
        <v>1.0476844597772239</v>
      </c>
      <c r="C10" s="6">
        <v>0.40340768440755653</v>
      </c>
    </row>
    <row r="11" spans="1:3" x14ac:dyDescent="0.3">
      <c r="A11" t="s">
        <v>9</v>
      </c>
      <c r="B11" s="6">
        <v>0.99237934550520213</v>
      </c>
      <c r="C11" s="6">
        <v>0.45956087723121863</v>
      </c>
    </row>
    <row r="12" spans="1:3" x14ac:dyDescent="0.3">
      <c r="A12" t="s">
        <v>10</v>
      </c>
      <c r="B12" s="6">
        <v>0.96721467434062358</v>
      </c>
      <c r="C12" s="6">
        <v>0.74010426363853532</v>
      </c>
    </row>
    <row r="13" spans="1:3" x14ac:dyDescent="0.3">
      <c r="A13" t="s">
        <v>11</v>
      </c>
      <c r="B13" s="6">
        <v>1.0122653054331472</v>
      </c>
      <c r="C13" s="6">
        <v>0.58037190303481878</v>
      </c>
    </row>
    <row r="14" spans="1:3" x14ac:dyDescent="0.3">
      <c r="A14" t="s">
        <v>12</v>
      </c>
      <c r="B14" s="6">
        <v>0.54481958057350843</v>
      </c>
      <c r="C14" s="6">
        <v>0.45865746846904515</v>
      </c>
    </row>
    <row r="15" spans="1:3" x14ac:dyDescent="0.3">
      <c r="A15" t="s">
        <v>23</v>
      </c>
      <c r="B15" s="6">
        <v>1.1625872530001562</v>
      </c>
      <c r="C15" s="6">
        <v>0.83976211322755867</v>
      </c>
    </row>
    <row r="16" spans="1:3" x14ac:dyDescent="0.3">
      <c r="A16" t="s">
        <v>24</v>
      </c>
      <c r="B16" s="6">
        <v>0.46776192554545698</v>
      </c>
      <c r="C16" s="6">
        <v>0.60954882985871184</v>
      </c>
    </row>
    <row r="17" spans="1:3" x14ac:dyDescent="0.3">
      <c r="A17" t="s">
        <v>44</v>
      </c>
      <c r="B17" s="6">
        <v>-6.5245094490272264E-4</v>
      </c>
      <c r="C17" s="6">
        <v>-4.3154956961780962E-2</v>
      </c>
    </row>
    <row r="18" spans="1:3" x14ac:dyDescent="0.3">
      <c r="A18" t="s">
        <v>50</v>
      </c>
      <c r="B18" s="6">
        <v>0.61608807900992935</v>
      </c>
      <c r="C18" s="6">
        <v>0.20532775426793112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8740C-0F6A-4115-876B-E1F578773E5D}">
  <sheetPr codeName="Sheet5">
    <tabColor rgb="FFC6E0B4"/>
  </sheetPr>
  <dimension ref="A1:G99"/>
  <sheetViews>
    <sheetView workbookViewId="0">
      <selection activeCell="A92" sqref="A92"/>
    </sheetView>
  </sheetViews>
  <sheetFormatPr defaultRowHeight="14.4" x14ac:dyDescent="0.3"/>
  <cols>
    <col min="1" max="1" width="27.5546875" style="3" customWidth="1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44104</v>
      </c>
      <c r="B2">
        <v>604.38</v>
      </c>
      <c r="C2">
        <v>504.51</v>
      </c>
      <c r="D2">
        <v>526.24</v>
      </c>
      <c r="E2">
        <v>571.38</v>
      </c>
      <c r="F2"/>
      <c r="G2"/>
    </row>
    <row r="3" spans="1:7" x14ac:dyDescent="0.3">
      <c r="A3">
        <v>44105</v>
      </c>
      <c r="B3">
        <v>600.72</v>
      </c>
      <c r="C3">
        <v>553.6</v>
      </c>
      <c r="D3">
        <v>571.38</v>
      </c>
      <c r="E3">
        <v>576.08000000000004</v>
      </c>
      <c r="F3">
        <v>-8.2256991844307237E-3</v>
      </c>
      <c r="G3">
        <v>1.8370296259240804E-2</v>
      </c>
    </row>
    <row r="4" spans="1:7" x14ac:dyDescent="0.3">
      <c r="A4">
        <v>44106</v>
      </c>
      <c r="B4">
        <v>574.95000000000005</v>
      </c>
      <c r="C4">
        <v>538.03</v>
      </c>
      <c r="D4">
        <v>576.39</v>
      </c>
      <c r="E4">
        <v>551.78</v>
      </c>
      <c r="F4">
        <v>4.2181641438689188E-2</v>
      </c>
      <c r="G4">
        <v>2.0894085671413598E-2</v>
      </c>
    </row>
    <row r="5" spans="1:7" x14ac:dyDescent="0.3">
      <c r="A5">
        <v>44107</v>
      </c>
      <c r="B5">
        <v>584.39</v>
      </c>
      <c r="C5">
        <v>546.98</v>
      </c>
      <c r="D5">
        <v>551.5</v>
      </c>
      <c r="E5">
        <v>557.19000000000005</v>
      </c>
      <c r="F5">
        <v>-9.8046322809817177E-3</v>
      </c>
      <c r="G5">
        <v>-1.4168811265651282E-3</v>
      </c>
    </row>
    <row r="6" spans="1:7" x14ac:dyDescent="0.3">
      <c r="A6">
        <v>44108</v>
      </c>
      <c r="B6">
        <v>571.89</v>
      </c>
      <c r="C6">
        <v>549.9</v>
      </c>
      <c r="D6">
        <v>558.30999999999995</v>
      </c>
      <c r="E6">
        <v>569.75</v>
      </c>
      <c r="F6">
        <v>-2.2541682370466054E-2</v>
      </c>
      <c r="G6">
        <v>-1.816239316239332E-2</v>
      </c>
    </row>
    <row r="7" spans="1:7" x14ac:dyDescent="0.3">
      <c r="A7">
        <v>44109</v>
      </c>
      <c r="B7">
        <v>579.16</v>
      </c>
      <c r="C7">
        <v>553.47</v>
      </c>
      <c r="D7">
        <v>569.75</v>
      </c>
      <c r="E7">
        <v>565.12</v>
      </c>
      <c r="F7">
        <v>8.1263712154453493E-3</v>
      </c>
      <c r="G7">
        <v>-3.2613936076684169E-3</v>
      </c>
    </row>
    <row r="8" spans="1:7" x14ac:dyDescent="0.3">
      <c r="A8">
        <v>44110</v>
      </c>
      <c r="B8">
        <v>558.4</v>
      </c>
      <c r="C8">
        <v>517.79</v>
      </c>
      <c r="D8">
        <v>565.12</v>
      </c>
      <c r="E8">
        <v>520.33000000000004</v>
      </c>
      <c r="F8">
        <v>7.9257502831256987E-2</v>
      </c>
      <c r="G8">
        <v>3.6493668023518722E-2</v>
      </c>
    </row>
    <row r="9" spans="1:7" x14ac:dyDescent="0.3">
      <c r="A9">
        <v>44111</v>
      </c>
      <c r="B9">
        <v>531.26</v>
      </c>
      <c r="C9">
        <v>502.01</v>
      </c>
      <c r="D9">
        <v>520.45000000000005</v>
      </c>
      <c r="E9">
        <v>522.78</v>
      </c>
      <c r="F9">
        <v>-4.7085503430512876E-3</v>
      </c>
      <c r="G9">
        <v>-3.1098723778788528E-3</v>
      </c>
    </row>
    <row r="10" spans="1:7" x14ac:dyDescent="0.3">
      <c r="A10">
        <v>44112</v>
      </c>
      <c r="B10">
        <v>537.47</v>
      </c>
      <c r="C10">
        <v>498.61</v>
      </c>
      <c r="D10">
        <v>522.78</v>
      </c>
      <c r="E10">
        <v>533.95000000000005</v>
      </c>
      <c r="F10">
        <v>-2.1366540418531921E-2</v>
      </c>
      <c r="G10">
        <v>-2.7170892925038714E-2</v>
      </c>
    </row>
    <row r="11" spans="1:7" x14ac:dyDescent="0.3">
      <c r="A11">
        <v>44113</v>
      </c>
      <c r="B11">
        <v>570.79</v>
      </c>
      <c r="C11">
        <v>525.21</v>
      </c>
      <c r="D11">
        <v>533.95000000000005</v>
      </c>
      <c r="E11">
        <v>568.03</v>
      </c>
      <c r="F11">
        <v>-6.3826200955145573E-2</v>
      </c>
      <c r="G11">
        <v>-4.0461275626423765E-2</v>
      </c>
    </row>
    <row r="12" spans="1:7" x14ac:dyDescent="0.3">
      <c r="A12">
        <v>44114</v>
      </c>
      <c r="B12">
        <v>614.21</v>
      </c>
      <c r="C12">
        <v>567.41999999999996</v>
      </c>
      <c r="D12">
        <v>568.03</v>
      </c>
      <c r="E12">
        <v>587.29</v>
      </c>
      <c r="F12">
        <v>-3.3906659859514354E-2</v>
      </c>
      <c r="G12">
        <v>-1.4969486330423276E-2</v>
      </c>
    </row>
    <row r="13" spans="1:7" x14ac:dyDescent="0.3">
      <c r="A13">
        <v>44115</v>
      </c>
      <c r="B13">
        <v>596.67999999999995</v>
      </c>
      <c r="C13">
        <v>576.82000000000005</v>
      </c>
      <c r="D13">
        <v>587.29</v>
      </c>
      <c r="E13">
        <v>588.22</v>
      </c>
      <c r="F13">
        <v>-1.5835447564236382E-3</v>
      </c>
      <c r="G13">
        <v>-9.4100517687663032E-3</v>
      </c>
    </row>
    <row r="14" spans="1:7" x14ac:dyDescent="0.3">
      <c r="A14">
        <v>44116</v>
      </c>
      <c r="B14">
        <v>597.76</v>
      </c>
      <c r="C14">
        <v>582.07000000000005</v>
      </c>
      <c r="D14">
        <v>588.46</v>
      </c>
      <c r="E14">
        <v>586.91</v>
      </c>
      <c r="F14">
        <v>2.2270579035056359E-3</v>
      </c>
      <c r="G14">
        <v>-3.3496273739882954E-2</v>
      </c>
    </row>
    <row r="15" spans="1:7" x14ac:dyDescent="0.3">
      <c r="A15">
        <v>44117</v>
      </c>
      <c r="B15">
        <v>595.97</v>
      </c>
      <c r="C15">
        <v>561.37</v>
      </c>
      <c r="D15">
        <v>586.57000000000005</v>
      </c>
      <c r="E15">
        <v>574.36</v>
      </c>
      <c r="F15">
        <v>2.1383176296195239E-2</v>
      </c>
      <c r="G15">
        <v>1.421519216355227E-2</v>
      </c>
    </row>
    <row r="16" spans="1:7" x14ac:dyDescent="0.3">
      <c r="A16">
        <v>44118</v>
      </c>
      <c r="B16">
        <v>598.41999999999996</v>
      </c>
      <c r="C16">
        <v>559.23</v>
      </c>
      <c r="D16">
        <v>574.36</v>
      </c>
      <c r="E16">
        <v>575.32000000000005</v>
      </c>
      <c r="F16">
        <v>-1.6714255867400496E-3</v>
      </c>
      <c r="G16">
        <v>6.0302561547941336E-3</v>
      </c>
    </row>
    <row r="17" spans="1:7" x14ac:dyDescent="0.3">
      <c r="A17">
        <v>44119</v>
      </c>
      <c r="B17">
        <v>579.9</v>
      </c>
      <c r="C17">
        <v>557.58000000000004</v>
      </c>
      <c r="D17">
        <v>575.80999999999995</v>
      </c>
      <c r="E17">
        <v>558.38</v>
      </c>
      <c r="F17">
        <v>2.9444483070291461E-2</v>
      </c>
      <c r="G17">
        <v>3.7192371607185359E-3</v>
      </c>
    </row>
    <row r="18" spans="1:7" x14ac:dyDescent="0.3">
      <c r="A18">
        <v>44120</v>
      </c>
      <c r="B18">
        <v>554.41999999999996</v>
      </c>
      <c r="C18">
        <v>535.39</v>
      </c>
      <c r="D18">
        <v>558.38</v>
      </c>
      <c r="E18">
        <v>543.42999999999995</v>
      </c>
      <c r="F18">
        <v>2.677388158601679E-2</v>
      </c>
      <c r="G18">
        <v>3.2088959491660018E-2</v>
      </c>
    </row>
    <row r="19" spans="1:7" x14ac:dyDescent="0.3">
      <c r="A19">
        <v>44121</v>
      </c>
      <c r="B19">
        <v>560.20000000000005</v>
      </c>
      <c r="C19">
        <v>539.16999999999996</v>
      </c>
      <c r="D19">
        <v>543.42999999999995</v>
      </c>
      <c r="E19">
        <v>553.38</v>
      </c>
      <c r="F19">
        <v>-1.8309625894779469E-2</v>
      </c>
      <c r="G19">
        <v>-8.3976147491657827E-3</v>
      </c>
    </row>
    <row r="20" spans="1:7" x14ac:dyDescent="0.3">
      <c r="A20">
        <v>44122</v>
      </c>
      <c r="B20">
        <v>576.92999999999995</v>
      </c>
      <c r="C20">
        <v>559.20000000000005</v>
      </c>
      <c r="D20">
        <v>553.38</v>
      </c>
      <c r="E20">
        <v>574.86</v>
      </c>
      <c r="F20">
        <v>-3.8816003469587024E-2</v>
      </c>
      <c r="G20">
        <v>-2.6556354265563575E-2</v>
      </c>
    </row>
    <row r="21" spans="1:7" x14ac:dyDescent="0.3">
      <c r="A21">
        <v>44123</v>
      </c>
      <c r="B21">
        <v>590.66999999999996</v>
      </c>
      <c r="C21">
        <v>570.55999999999995</v>
      </c>
      <c r="D21">
        <v>574.86</v>
      </c>
      <c r="E21">
        <v>572.09</v>
      </c>
      <c r="F21">
        <v>4.8185645200570226E-3</v>
      </c>
      <c r="G21">
        <v>-2.5631540006343378E-3</v>
      </c>
    </row>
    <row r="22" spans="1:7" x14ac:dyDescent="0.3">
      <c r="A22">
        <v>44124</v>
      </c>
      <c r="B22">
        <v>581.42999999999995</v>
      </c>
      <c r="C22">
        <v>551.38</v>
      </c>
      <c r="D22">
        <v>572.09</v>
      </c>
      <c r="E22">
        <v>551.62</v>
      </c>
      <c r="F22">
        <v>3.5781083395969193E-2</v>
      </c>
      <c r="G22">
        <v>2.8122611422998878E-2</v>
      </c>
    </row>
    <row r="23" spans="1:7" x14ac:dyDescent="0.3">
      <c r="A23">
        <v>44125</v>
      </c>
      <c r="B23">
        <v>596.71</v>
      </c>
      <c r="C23">
        <v>554.80999999999995</v>
      </c>
      <c r="D23">
        <v>551.62</v>
      </c>
      <c r="E23">
        <v>568.77</v>
      </c>
      <c r="F23">
        <v>-3.1090243283419694E-2</v>
      </c>
      <c r="G23">
        <v>-6.1615230243531993E-2</v>
      </c>
    </row>
    <row r="24" spans="1:7" x14ac:dyDescent="0.3">
      <c r="A24">
        <v>44126</v>
      </c>
      <c r="B24">
        <v>600.41</v>
      </c>
      <c r="C24">
        <v>574.04</v>
      </c>
      <c r="D24">
        <v>568.77</v>
      </c>
      <c r="E24">
        <v>596.51</v>
      </c>
      <c r="F24">
        <v>-4.8771911317404326E-2</v>
      </c>
      <c r="G24">
        <v>-5.8856588157155221E-2</v>
      </c>
    </row>
    <row r="25" spans="1:7" x14ac:dyDescent="0.3">
      <c r="A25">
        <v>44127</v>
      </c>
      <c r="B25">
        <v>602.1</v>
      </c>
      <c r="C25">
        <v>589.03</v>
      </c>
      <c r="D25">
        <v>596.51</v>
      </c>
      <c r="E25">
        <v>593.55999999999995</v>
      </c>
      <c r="F25">
        <v>4.9454325996212134E-3</v>
      </c>
      <c r="G25">
        <v>1.189384800965021E-2</v>
      </c>
    </row>
    <row r="26" spans="1:7" x14ac:dyDescent="0.3">
      <c r="A26">
        <v>44128</v>
      </c>
      <c r="B26">
        <v>609.17999999999995</v>
      </c>
      <c r="C26">
        <v>596.98</v>
      </c>
      <c r="D26">
        <v>593.55999999999995</v>
      </c>
      <c r="E26">
        <v>601.44000000000005</v>
      </c>
      <c r="F26">
        <v>-1.3275827212076541E-2</v>
      </c>
      <c r="G26">
        <v>-7.275923529555417E-3</v>
      </c>
    </row>
    <row r="27" spans="1:7" x14ac:dyDescent="0.3">
      <c r="A27">
        <v>44129</v>
      </c>
      <c r="B27">
        <v>597.54999999999995</v>
      </c>
      <c r="C27">
        <v>584.51</v>
      </c>
      <c r="D27">
        <v>601.44000000000005</v>
      </c>
      <c r="E27">
        <v>584.9</v>
      </c>
      <c r="F27">
        <v>2.7500665070497643E-2</v>
      </c>
      <c r="G27">
        <v>1.5004241910071547E-2</v>
      </c>
    </row>
    <row r="28" spans="1:7" x14ac:dyDescent="0.3">
      <c r="A28">
        <v>44130</v>
      </c>
      <c r="B28">
        <v>609.44000000000005</v>
      </c>
      <c r="C28">
        <v>557.41</v>
      </c>
      <c r="D28">
        <v>584.84</v>
      </c>
      <c r="E28">
        <v>569.55999999999995</v>
      </c>
      <c r="F28">
        <v>2.6226705419729934E-2</v>
      </c>
      <c r="G28">
        <v>3.2606555763362577E-2</v>
      </c>
    </row>
    <row r="29" spans="1:7" x14ac:dyDescent="0.3">
      <c r="A29">
        <v>44131</v>
      </c>
      <c r="B29">
        <v>606.02</v>
      </c>
      <c r="C29">
        <v>575.04</v>
      </c>
      <c r="D29">
        <v>570.74</v>
      </c>
      <c r="E29">
        <v>585</v>
      </c>
      <c r="F29">
        <v>-2.7108645270033094E-2</v>
      </c>
      <c r="G29">
        <v>-2.7040777390552329E-2</v>
      </c>
    </row>
    <row r="30" spans="1:7" x14ac:dyDescent="0.3">
      <c r="A30">
        <v>44132</v>
      </c>
      <c r="B30">
        <v>574.49</v>
      </c>
      <c r="C30">
        <v>538.21</v>
      </c>
      <c r="D30">
        <v>585</v>
      </c>
      <c r="E30">
        <v>544.19000000000005</v>
      </c>
      <c r="F30">
        <v>6.9760683760683673E-2</v>
      </c>
      <c r="G30">
        <v>3.7078317729231758E-2</v>
      </c>
    </row>
    <row r="31" spans="1:7" x14ac:dyDescent="0.3">
      <c r="A31">
        <v>44133</v>
      </c>
      <c r="B31">
        <v>558.95000000000005</v>
      </c>
      <c r="C31">
        <v>527.85</v>
      </c>
      <c r="D31">
        <v>544.19000000000005</v>
      </c>
      <c r="E31">
        <v>534.17999999999995</v>
      </c>
      <c r="F31">
        <v>1.8394310810562642E-2</v>
      </c>
      <c r="G31">
        <v>3.163824369164181E-3</v>
      </c>
    </row>
    <row r="32" spans="1:7" x14ac:dyDescent="0.3">
      <c r="A32">
        <v>44134</v>
      </c>
      <c r="B32">
        <v>544.66999999999996</v>
      </c>
      <c r="C32">
        <v>519.98</v>
      </c>
      <c r="D32">
        <v>534.17999999999995</v>
      </c>
      <c r="E32">
        <v>520.79999999999995</v>
      </c>
      <c r="F32">
        <v>2.5047736717960234E-2</v>
      </c>
      <c r="G32">
        <v>1.2334210662125256E-2</v>
      </c>
    </row>
    <row r="33" spans="1:7" x14ac:dyDescent="0.3">
      <c r="A33">
        <v>44135</v>
      </c>
      <c r="B33">
        <v>535.99</v>
      </c>
      <c r="C33">
        <v>521.08000000000004</v>
      </c>
      <c r="D33">
        <v>520.79999999999995</v>
      </c>
      <c r="E33">
        <v>524.53</v>
      </c>
      <c r="F33">
        <v>-7.16205837173578E-3</v>
      </c>
      <c r="G33">
        <v>-1.0476538823283477E-2</v>
      </c>
    </row>
    <row r="34" spans="1:7" x14ac:dyDescent="0.3">
      <c r="A34">
        <v>44136</v>
      </c>
      <c r="B34">
        <v>541.66</v>
      </c>
      <c r="C34">
        <v>522.53</v>
      </c>
      <c r="D34">
        <v>524.53</v>
      </c>
      <c r="E34">
        <v>540.84</v>
      </c>
      <c r="F34">
        <v>-3.1094503650887617E-2</v>
      </c>
      <c r="G34">
        <v>-2.5803449078263707E-2</v>
      </c>
    </row>
    <row r="35" spans="1:7" x14ac:dyDescent="0.3">
      <c r="A35">
        <v>44137</v>
      </c>
      <c r="B35">
        <v>547.19000000000005</v>
      </c>
      <c r="C35">
        <v>521.27</v>
      </c>
      <c r="D35">
        <v>540.84</v>
      </c>
      <c r="E35">
        <v>525.34</v>
      </c>
      <c r="F35">
        <v>2.8659122845943297E-2</v>
      </c>
      <c r="G35">
        <v>3.3119092627599156E-2</v>
      </c>
    </row>
    <row r="36" spans="1:7" x14ac:dyDescent="0.3">
      <c r="A36">
        <v>44138</v>
      </c>
      <c r="B36">
        <v>525.88</v>
      </c>
      <c r="C36">
        <v>502.46</v>
      </c>
      <c r="D36">
        <v>524.39</v>
      </c>
      <c r="E36">
        <v>521.01</v>
      </c>
      <c r="F36">
        <v>8.2422811893251291E-3</v>
      </c>
      <c r="G36">
        <v>-1.191314095044449E-2</v>
      </c>
    </row>
    <row r="37" spans="1:7" x14ac:dyDescent="0.3">
      <c r="A37">
        <v>44139</v>
      </c>
      <c r="B37">
        <v>530.77</v>
      </c>
      <c r="C37">
        <v>515.48</v>
      </c>
      <c r="D37">
        <v>522.39</v>
      </c>
      <c r="E37">
        <v>522.99</v>
      </c>
      <c r="F37">
        <v>-3.8003109345310371E-3</v>
      </c>
      <c r="G37">
        <v>-3.730228244628786E-2</v>
      </c>
    </row>
    <row r="38" spans="1:7" x14ac:dyDescent="0.3">
      <c r="A38">
        <v>44140</v>
      </c>
      <c r="B38">
        <v>582.03</v>
      </c>
      <c r="C38">
        <v>531.79999999999995</v>
      </c>
      <c r="D38">
        <v>522.99</v>
      </c>
      <c r="E38">
        <v>531.79999999999995</v>
      </c>
      <c r="F38">
        <v>-1.6845446375647555E-2</v>
      </c>
      <c r="G38">
        <v>-3.5339989072666667E-2</v>
      </c>
    </row>
    <row r="39" spans="1:7" x14ac:dyDescent="0.3">
      <c r="A39">
        <v>44141</v>
      </c>
      <c r="B39">
        <v>546.97</v>
      </c>
      <c r="C39">
        <v>523.04</v>
      </c>
      <c r="D39">
        <v>531.84</v>
      </c>
      <c r="E39">
        <v>541.82000000000005</v>
      </c>
      <c r="F39">
        <v>-1.884166980067703E-2</v>
      </c>
      <c r="G39">
        <v>-9.4581304420830348E-2</v>
      </c>
    </row>
    <row r="40" spans="1:7" x14ac:dyDescent="0.3">
      <c r="A40">
        <v>44142</v>
      </c>
      <c r="B40">
        <v>530.91</v>
      </c>
      <c r="C40">
        <v>504.5</v>
      </c>
      <c r="D40">
        <v>541.46</v>
      </c>
      <c r="E40">
        <v>520.23</v>
      </c>
      <c r="F40">
        <v>3.9847181720866764E-2</v>
      </c>
      <c r="G40">
        <v>4.4924614305750343E-2</v>
      </c>
    </row>
    <row r="41" spans="1:7" x14ac:dyDescent="0.3">
      <c r="A41">
        <v>44143</v>
      </c>
      <c r="B41">
        <v>539.97</v>
      </c>
      <c r="C41">
        <v>510.56</v>
      </c>
      <c r="D41">
        <v>519.55999999999995</v>
      </c>
      <c r="E41">
        <v>535.98</v>
      </c>
      <c r="F41">
        <v>-3.0275070641831547E-2</v>
      </c>
      <c r="G41">
        <v>-4.3412417970721817E-2</v>
      </c>
    </row>
    <row r="42" spans="1:7" x14ac:dyDescent="0.3">
      <c r="A42">
        <v>44144</v>
      </c>
      <c r="B42">
        <v>531.82000000000005</v>
      </c>
      <c r="C42">
        <v>522.91999999999996</v>
      </c>
      <c r="D42">
        <v>534.80999999999995</v>
      </c>
      <c r="E42">
        <v>525.07000000000005</v>
      </c>
      <c r="F42">
        <v>2.0355237135713966E-2</v>
      </c>
      <c r="G42">
        <v>2.2628315081145267E-2</v>
      </c>
    </row>
    <row r="43" spans="1:7" x14ac:dyDescent="0.3">
      <c r="A43">
        <v>44145</v>
      </c>
      <c r="B43">
        <v>559.69000000000005</v>
      </c>
      <c r="C43">
        <v>520.88</v>
      </c>
      <c r="D43">
        <v>523.49</v>
      </c>
      <c r="E43">
        <v>552.82000000000005</v>
      </c>
      <c r="F43">
        <v>-5.2850096177652572E-2</v>
      </c>
      <c r="G43">
        <v>-1.4422319721003607E-2</v>
      </c>
    </row>
    <row r="44" spans="1:7" x14ac:dyDescent="0.3">
      <c r="A44">
        <v>44146</v>
      </c>
      <c r="B44">
        <v>570.16999999999996</v>
      </c>
      <c r="C44">
        <v>542.21</v>
      </c>
      <c r="D44">
        <v>552.98</v>
      </c>
      <c r="E44">
        <v>544.55999999999995</v>
      </c>
      <c r="F44">
        <v>1.4941572302015316E-2</v>
      </c>
      <c r="G44">
        <v>-2.8944683493767442E-2</v>
      </c>
    </row>
    <row r="45" spans="1:7" x14ac:dyDescent="0.3">
      <c r="A45">
        <v>44147</v>
      </c>
      <c r="B45">
        <v>552.29999999999995</v>
      </c>
      <c r="C45">
        <v>524.16</v>
      </c>
      <c r="D45">
        <v>543.4</v>
      </c>
      <c r="E45">
        <v>533.9</v>
      </c>
      <c r="F45">
        <v>1.9575437050095457E-2</v>
      </c>
      <c r="G45">
        <v>2.4358172921472576E-3</v>
      </c>
    </row>
    <row r="46" spans="1:7" x14ac:dyDescent="0.3">
      <c r="A46">
        <v>44148</v>
      </c>
      <c r="B46">
        <v>556.91999999999996</v>
      </c>
      <c r="C46">
        <v>531.12</v>
      </c>
      <c r="D46">
        <v>533.9</v>
      </c>
      <c r="E46">
        <v>556.91999999999996</v>
      </c>
      <c r="F46">
        <v>-4.3116688518449076E-2</v>
      </c>
      <c r="G46">
        <v>-3.0446432430096371E-2</v>
      </c>
    </row>
    <row r="47" spans="1:7" x14ac:dyDescent="0.3">
      <c r="A47">
        <v>44149</v>
      </c>
      <c r="B47">
        <v>557.79</v>
      </c>
      <c r="C47">
        <v>520.16999999999996</v>
      </c>
      <c r="D47">
        <v>556.91999999999996</v>
      </c>
      <c r="E47">
        <v>529.51</v>
      </c>
      <c r="F47">
        <v>4.9217122746534447E-2</v>
      </c>
      <c r="G47">
        <v>3.3216599911925715E-2</v>
      </c>
    </row>
    <row r="48" spans="1:7" x14ac:dyDescent="0.3">
      <c r="A48">
        <v>44150</v>
      </c>
      <c r="B48">
        <v>542.88</v>
      </c>
      <c r="C48">
        <v>501.53</v>
      </c>
      <c r="D48">
        <v>529.51</v>
      </c>
      <c r="E48">
        <v>516.41999999999996</v>
      </c>
      <c r="F48">
        <v>2.4720968442522362E-2</v>
      </c>
      <c r="G48">
        <v>2.7156584170227482E-2</v>
      </c>
    </row>
    <row r="49" spans="1:7" x14ac:dyDescent="0.3">
      <c r="A49">
        <v>44151</v>
      </c>
      <c r="B49">
        <v>534.96</v>
      </c>
      <c r="C49">
        <v>508.3</v>
      </c>
      <c r="D49">
        <v>516.41999999999996</v>
      </c>
      <c r="E49">
        <v>517.66999999999996</v>
      </c>
      <c r="F49">
        <v>-2.420510437241008E-3</v>
      </c>
      <c r="G49">
        <v>-2.7870058638603368E-2</v>
      </c>
    </row>
    <row r="50" spans="1:7" x14ac:dyDescent="0.3">
      <c r="A50">
        <v>44152</v>
      </c>
      <c r="B50">
        <v>530.77</v>
      </c>
      <c r="C50">
        <v>512.01</v>
      </c>
      <c r="D50">
        <v>517.66999999999996</v>
      </c>
      <c r="E50">
        <v>525.75</v>
      </c>
      <c r="F50">
        <v>-1.5608399173218546E-2</v>
      </c>
      <c r="G50">
        <v>-4.7070562460684195E-2</v>
      </c>
    </row>
    <row r="51" spans="1:7" x14ac:dyDescent="0.3">
      <c r="A51">
        <v>44153</v>
      </c>
      <c r="B51">
        <v>537.36</v>
      </c>
      <c r="C51">
        <v>505.54</v>
      </c>
      <c r="D51">
        <v>525.75</v>
      </c>
      <c r="E51">
        <v>509.54</v>
      </c>
      <c r="F51">
        <v>3.0832144555397067E-2</v>
      </c>
      <c r="G51">
        <v>8.1829669988191522E-3</v>
      </c>
    </row>
    <row r="52" spans="1:7" x14ac:dyDescent="0.3">
      <c r="A52">
        <v>44154</v>
      </c>
      <c r="B52">
        <v>527.44000000000005</v>
      </c>
      <c r="C52">
        <v>500.81</v>
      </c>
      <c r="D52">
        <v>509.54</v>
      </c>
      <c r="E52">
        <v>510.21</v>
      </c>
      <c r="F52">
        <v>-1.3149114887938129E-3</v>
      </c>
      <c r="G52">
        <v>1.4495780766981325E-2</v>
      </c>
    </row>
    <row r="53" spans="1:7" x14ac:dyDescent="0.3">
      <c r="A53">
        <v>44155</v>
      </c>
      <c r="B53">
        <v>526.99</v>
      </c>
      <c r="C53">
        <v>506</v>
      </c>
      <c r="D53">
        <v>510.21</v>
      </c>
      <c r="E53">
        <v>516.29</v>
      </c>
      <c r="F53">
        <v>-1.1916661766723458E-2</v>
      </c>
      <c r="G53">
        <v>-8.1832054597092085E-2</v>
      </c>
    </row>
    <row r="54" spans="1:7" x14ac:dyDescent="0.3">
      <c r="A54">
        <v>44156</v>
      </c>
      <c r="B54">
        <v>553.30999999999995</v>
      </c>
      <c r="C54">
        <v>515.9</v>
      </c>
      <c r="D54">
        <v>516.29</v>
      </c>
      <c r="E54">
        <v>551.73</v>
      </c>
      <c r="F54">
        <v>-6.8643591779813828E-2</v>
      </c>
      <c r="G54">
        <v>-8.195051231314765E-2</v>
      </c>
    </row>
    <row r="55" spans="1:7" x14ac:dyDescent="0.3">
      <c r="A55">
        <v>44157</v>
      </c>
      <c r="B55">
        <v>585.49</v>
      </c>
      <c r="C55">
        <v>515.16</v>
      </c>
      <c r="D55">
        <v>551.73</v>
      </c>
      <c r="E55">
        <v>563.99</v>
      </c>
      <c r="F55">
        <v>-2.2221013901727371E-2</v>
      </c>
      <c r="G55">
        <v>-1.4033245210589129E-2</v>
      </c>
    </row>
    <row r="56" spans="1:7" x14ac:dyDescent="0.3">
      <c r="A56">
        <v>44158</v>
      </c>
      <c r="B56">
        <v>605.99</v>
      </c>
      <c r="C56">
        <v>558.55999999999995</v>
      </c>
      <c r="D56">
        <v>563.79</v>
      </c>
      <c r="E56">
        <v>601.77</v>
      </c>
      <c r="F56">
        <v>-6.6987003315661653E-2</v>
      </c>
      <c r="G56">
        <v>-8.7712719415724782E-2</v>
      </c>
    </row>
    <row r="57" spans="1:7" x14ac:dyDescent="0.3">
      <c r="A57">
        <v>44159</v>
      </c>
      <c r="B57">
        <v>618.13</v>
      </c>
      <c r="C57">
        <v>578.64</v>
      </c>
      <c r="D57">
        <v>601.70000000000005</v>
      </c>
      <c r="E57">
        <v>600.52</v>
      </c>
      <c r="F57">
        <v>2.0772055768815134E-3</v>
      </c>
      <c r="G57">
        <v>6.8129955838654999E-3</v>
      </c>
    </row>
    <row r="58" spans="1:7" x14ac:dyDescent="0.3">
      <c r="A58">
        <v>44160</v>
      </c>
      <c r="B58">
        <v>613.91999999999996</v>
      </c>
      <c r="C58">
        <v>546.1</v>
      </c>
      <c r="D58">
        <v>600.52</v>
      </c>
      <c r="E58">
        <v>562.24</v>
      </c>
      <c r="F58">
        <v>6.374475454605999E-2</v>
      </c>
      <c r="G58">
        <v>5.8811861549142197E-2</v>
      </c>
    </row>
    <row r="59" spans="1:7" x14ac:dyDescent="0.3">
      <c r="A59">
        <v>44161</v>
      </c>
      <c r="B59">
        <v>552.20000000000005</v>
      </c>
      <c r="C59">
        <v>502.91</v>
      </c>
      <c r="D59">
        <v>562.33000000000004</v>
      </c>
      <c r="E59">
        <v>526.96</v>
      </c>
      <c r="F59">
        <v>6.2749003984063689E-2</v>
      </c>
      <c r="G59">
        <v>8.6371619248331477E-2</v>
      </c>
    </row>
    <row r="60" spans="1:7" x14ac:dyDescent="0.3">
      <c r="A60">
        <v>44162</v>
      </c>
      <c r="B60">
        <v>545.62</v>
      </c>
      <c r="C60">
        <v>508.17</v>
      </c>
      <c r="D60">
        <v>526.59</v>
      </c>
      <c r="E60">
        <v>514.39</v>
      </c>
      <c r="F60">
        <v>2.3853802945195124E-2</v>
      </c>
      <c r="G60">
        <v>2.671946484179788E-3</v>
      </c>
    </row>
    <row r="61" spans="1:7" x14ac:dyDescent="0.3">
      <c r="A61">
        <v>44163</v>
      </c>
      <c r="B61">
        <v>535.41999999999996</v>
      </c>
      <c r="C61">
        <v>508.45</v>
      </c>
      <c r="D61">
        <v>514.39</v>
      </c>
      <c r="E61">
        <v>530.13</v>
      </c>
      <c r="F61">
        <v>-3.0599350687221749E-2</v>
      </c>
      <c r="G61">
        <v>-3.6929244646608739E-2</v>
      </c>
    </row>
    <row r="62" spans="1:7" x14ac:dyDescent="0.3">
      <c r="A62">
        <v>44164</v>
      </c>
      <c r="B62">
        <v>547.24</v>
      </c>
      <c r="C62">
        <v>522.12</v>
      </c>
      <c r="D62">
        <v>530.13</v>
      </c>
      <c r="E62">
        <v>546.38</v>
      </c>
      <c r="F62">
        <v>-3.0652858732763688E-2</v>
      </c>
      <c r="G62">
        <v>-5.0354095801037335E-2</v>
      </c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AFC46-543C-4566-B37E-8CCFBBBB9470}">
  <sheetPr codeName="Sheet8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44104</v>
      </c>
      <c r="B2">
        <v>4.97</v>
      </c>
      <c r="C2">
        <v>4.4340000000000002</v>
      </c>
      <c r="D2">
        <v>4.97</v>
      </c>
      <c r="E2">
        <v>4.75</v>
      </c>
      <c r="F2"/>
      <c r="G2"/>
    </row>
    <row r="3" spans="1:7" x14ac:dyDescent="0.3">
      <c r="A3">
        <v>44105</v>
      </c>
      <c r="B3">
        <v>4.8849999999999998</v>
      </c>
      <c r="C3">
        <v>4.4329999999999998</v>
      </c>
      <c r="D3">
        <v>4.7409999999999997</v>
      </c>
      <c r="E3">
        <v>4.6859999999999999</v>
      </c>
      <c r="F3">
        <v>1.3473684210526304E-2</v>
      </c>
      <c r="G3">
        <v>1.8370296259240804E-2</v>
      </c>
    </row>
    <row r="4" spans="1:7" x14ac:dyDescent="0.3">
      <c r="A4">
        <v>44106</v>
      </c>
      <c r="B4">
        <v>4.6769999999999996</v>
      </c>
      <c r="C4">
        <v>4.05</v>
      </c>
      <c r="D4">
        <v>4.6859999999999999</v>
      </c>
      <c r="E4">
        <v>4.4189999999999996</v>
      </c>
      <c r="F4">
        <v>5.6978233034571169E-2</v>
      </c>
      <c r="G4">
        <v>2.0894085671413598E-2</v>
      </c>
    </row>
    <row r="5" spans="1:7" x14ac:dyDescent="0.3">
      <c r="A5">
        <v>44107</v>
      </c>
      <c r="B5">
        <v>4.5890000000000004</v>
      </c>
      <c r="C5">
        <v>4.3769999999999998</v>
      </c>
      <c r="D5">
        <v>4.4189999999999996</v>
      </c>
      <c r="E5">
        <v>4.391</v>
      </c>
      <c r="F5">
        <v>6.3362751753789359E-3</v>
      </c>
      <c r="G5">
        <v>-1.4168811265651282E-3</v>
      </c>
    </row>
    <row r="6" spans="1:7" x14ac:dyDescent="0.3">
      <c r="A6">
        <v>44108</v>
      </c>
      <c r="B6">
        <v>4.5759999999999996</v>
      </c>
      <c r="C6">
        <v>4.3120000000000003</v>
      </c>
      <c r="D6">
        <v>4.391</v>
      </c>
      <c r="E6">
        <v>4.3890000000000002</v>
      </c>
      <c r="F6">
        <v>4.5547711227500454E-4</v>
      </c>
      <c r="G6">
        <v>-1.816239316239332E-2</v>
      </c>
    </row>
    <row r="7" spans="1:7" x14ac:dyDescent="0.3">
      <c r="A7">
        <v>44109</v>
      </c>
      <c r="B7">
        <v>4.548</v>
      </c>
      <c r="C7">
        <v>4.1500000000000004</v>
      </c>
      <c r="D7">
        <v>4.3890000000000002</v>
      </c>
      <c r="E7">
        <v>4.1900000000000004</v>
      </c>
      <c r="F7">
        <v>4.5340624287992681E-2</v>
      </c>
      <c r="G7">
        <v>-3.2613936076684169E-3</v>
      </c>
    </row>
    <row r="8" spans="1:7" x14ac:dyDescent="0.3">
      <c r="A8">
        <v>44110</v>
      </c>
      <c r="B8">
        <v>4.1769999999999996</v>
      </c>
      <c r="C8">
        <v>3.58</v>
      </c>
      <c r="D8">
        <v>4.1769999999999996</v>
      </c>
      <c r="E8">
        <v>3.58</v>
      </c>
      <c r="F8">
        <v>0.14558472553699287</v>
      </c>
      <c r="G8">
        <v>3.6493668023518722E-2</v>
      </c>
    </row>
    <row r="9" spans="1:7" x14ac:dyDescent="0.3">
      <c r="A9">
        <v>44111</v>
      </c>
      <c r="B9">
        <v>3.9249999999999998</v>
      </c>
      <c r="C9">
        <v>3.4660000000000002</v>
      </c>
      <c r="D9">
        <v>3.58</v>
      </c>
      <c r="E9">
        <v>3.9249999999999998</v>
      </c>
      <c r="F9">
        <v>-9.636871508379885E-2</v>
      </c>
      <c r="G9">
        <v>-3.1098723778788528E-3</v>
      </c>
    </row>
    <row r="10" spans="1:7" x14ac:dyDescent="0.3">
      <c r="A10">
        <v>44112</v>
      </c>
      <c r="B10">
        <v>4.0540000000000003</v>
      </c>
      <c r="C10">
        <v>3.738</v>
      </c>
      <c r="D10">
        <v>3.9350000000000001</v>
      </c>
      <c r="E10">
        <v>3.9660000000000002</v>
      </c>
      <c r="F10">
        <v>-1.0445859872611596E-2</v>
      </c>
      <c r="G10">
        <v>-2.7170892925038714E-2</v>
      </c>
    </row>
    <row r="11" spans="1:7" x14ac:dyDescent="0.3">
      <c r="A11">
        <v>44113</v>
      </c>
      <c r="B11">
        <v>4.3789999999999996</v>
      </c>
      <c r="C11">
        <v>3.8250000000000002</v>
      </c>
      <c r="D11">
        <v>3.9660000000000002</v>
      </c>
      <c r="E11">
        <v>4.2919999999999998</v>
      </c>
      <c r="F11">
        <v>-8.2198688855269708E-2</v>
      </c>
      <c r="G11">
        <v>-4.0461275626423765E-2</v>
      </c>
    </row>
    <row r="12" spans="1:7" x14ac:dyDescent="0.3">
      <c r="A12">
        <v>44114</v>
      </c>
      <c r="B12">
        <v>4.4649999999999999</v>
      </c>
      <c r="C12">
        <v>4.1840000000000002</v>
      </c>
      <c r="D12">
        <v>4.2919999999999998</v>
      </c>
      <c r="E12">
        <v>4.2910000000000004</v>
      </c>
      <c r="F12">
        <v>2.3299161230183607E-4</v>
      </c>
      <c r="G12">
        <v>-1.4969486330423276E-2</v>
      </c>
    </row>
    <row r="13" spans="1:7" x14ac:dyDescent="0.3">
      <c r="A13">
        <v>44115</v>
      </c>
      <c r="B13">
        <v>4.3390000000000004</v>
      </c>
      <c r="C13">
        <v>4.0750000000000002</v>
      </c>
      <c r="D13">
        <v>4.2910000000000004</v>
      </c>
      <c r="E13">
        <v>4.1589999999999998</v>
      </c>
      <c r="F13">
        <v>3.0762060125844926E-2</v>
      </c>
      <c r="G13">
        <v>-9.4100517687663032E-3</v>
      </c>
    </row>
    <row r="14" spans="1:7" x14ac:dyDescent="0.3">
      <c r="A14">
        <v>44116</v>
      </c>
      <c r="B14">
        <v>4.6749999999999998</v>
      </c>
      <c r="C14">
        <v>4.1749999999999998</v>
      </c>
      <c r="D14">
        <v>4.1589999999999998</v>
      </c>
      <c r="E14">
        <v>4.633</v>
      </c>
      <c r="F14">
        <v>-0.11396970425583075</v>
      </c>
      <c r="G14">
        <v>-3.3496273739882954E-2</v>
      </c>
    </row>
    <row r="15" spans="1:7" x14ac:dyDescent="0.3">
      <c r="A15">
        <v>44117</v>
      </c>
      <c r="B15">
        <v>4.6790000000000003</v>
      </c>
      <c r="C15">
        <v>4.3680000000000003</v>
      </c>
      <c r="D15">
        <v>4.633</v>
      </c>
      <c r="E15">
        <v>4.5010000000000003</v>
      </c>
      <c r="F15">
        <v>2.8491258363910976E-2</v>
      </c>
      <c r="G15">
        <v>1.421519216355227E-2</v>
      </c>
    </row>
    <row r="16" spans="1:7" x14ac:dyDescent="0.3">
      <c r="A16">
        <v>44118</v>
      </c>
      <c r="B16">
        <v>4.5750000000000002</v>
      </c>
      <c r="C16">
        <v>4.2709999999999999</v>
      </c>
      <c r="D16">
        <v>4.5010000000000003</v>
      </c>
      <c r="E16">
        <v>4.2789999999999999</v>
      </c>
      <c r="F16">
        <v>4.9322372806043235E-2</v>
      </c>
      <c r="G16">
        <v>6.0302561547941336E-3</v>
      </c>
    </row>
    <row r="17" spans="1:7" x14ac:dyDescent="0.3">
      <c r="A17">
        <v>44119</v>
      </c>
      <c r="B17">
        <v>4.298</v>
      </c>
      <c r="C17">
        <v>3.9</v>
      </c>
      <c r="D17">
        <v>4.298</v>
      </c>
      <c r="E17">
        <v>3.9</v>
      </c>
      <c r="F17">
        <v>8.8572096284178503E-2</v>
      </c>
      <c r="G17">
        <v>3.7192371607185359E-3</v>
      </c>
    </row>
    <row r="18" spans="1:7" x14ac:dyDescent="0.3">
      <c r="A18">
        <v>44120</v>
      </c>
      <c r="B18">
        <v>4.1390000000000002</v>
      </c>
      <c r="C18">
        <v>3.7679999999999998</v>
      </c>
      <c r="D18">
        <v>3.9079999999999999</v>
      </c>
      <c r="E18">
        <v>3.9009999999999998</v>
      </c>
      <c r="F18">
        <v>-2.5641025641021109E-4</v>
      </c>
      <c r="G18">
        <v>3.2088959491660018E-2</v>
      </c>
    </row>
    <row r="19" spans="1:7" x14ac:dyDescent="0.3">
      <c r="A19">
        <v>44121</v>
      </c>
      <c r="B19">
        <v>4.0039999999999996</v>
      </c>
      <c r="C19">
        <v>3.8719999999999999</v>
      </c>
      <c r="D19">
        <v>3.9</v>
      </c>
      <c r="E19">
        <v>3.9489999999999998</v>
      </c>
      <c r="F19">
        <v>-1.2304537298128748E-2</v>
      </c>
      <c r="G19">
        <v>-8.3976147491657827E-3</v>
      </c>
    </row>
    <row r="20" spans="1:7" x14ac:dyDescent="0.3">
      <c r="A20">
        <v>44122</v>
      </c>
      <c r="B20">
        <v>4.0389999999999997</v>
      </c>
      <c r="C20">
        <v>3.927</v>
      </c>
      <c r="D20">
        <v>3.9670000000000001</v>
      </c>
      <c r="E20">
        <v>3.9849999999999999</v>
      </c>
      <c r="F20">
        <v>-9.1162319574575879E-3</v>
      </c>
      <c r="G20">
        <v>-2.6556354265563575E-2</v>
      </c>
    </row>
    <row r="21" spans="1:7" x14ac:dyDescent="0.3">
      <c r="A21">
        <v>44123</v>
      </c>
      <c r="B21">
        <v>4.08</v>
      </c>
      <c r="C21">
        <v>3.706</v>
      </c>
      <c r="D21">
        <v>3.9849999999999999</v>
      </c>
      <c r="E21">
        <v>3.722</v>
      </c>
      <c r="F21">
        <v>6.5997490589711383E-2</v>
      </c>
      <c r="G21">
        <v>-2.5631540006343378E-3</v>
      </c>
    </row>
    <row r="22" spans="1:7" x14ac:dyDescent="0.3">
      <c r="A22">
        <v>44124</v>
      </c>
      <c r="B22">
        <v>3.778</v>
      </c>
      <c r="C22">
        <v>3.3330000000000002</v>
      </c>
      <c r="D22">
        <v>3.722</v>
      </c>
      <c r="E22">
        <v>3.698</v>
      </c>
      <c r="F22">
        <v>6.4481461579796173E-3</v>
      </c>
      <c r="G22">
        <v>2.8122611422998878E-2</v>
      </c>
    </row>
    <row r="23" spans="1:7" x14ac:dyDescent="0.3">
      <c r="A23">
        <v>44125</v>
      </c>
      <c r="B23">
        <v>4.0350000000000001</v>
      </c>
      <c r="C23">
        <v>3.476</v>
      </c>
      <c r="D23">
        <v>3.698</v>
      </c>
      <c r="E23">
        <v>3.524</v>
      </c>
      <c r="F23">
        <v>4.7052460789616002E-2</v>
      </c>
      <c r="G23">
        <v>-6.1615230243531993E-2</v>
      </c>
    </row>
    <row r="24" spans="1:7" x14ac:dyDescent="0.3">
      <c r="A24">
        <v>44126</v>
      </c>
      <c r="B24">
        <v>4.1059999999999999</v>
      </c>
      <c r="C24">
        <v>3.5619999999999998</v>
      </c>
      <c r="D24">
        <v>3.524</v>
      </c>
      <c r="E24">
        <v>3.891</v>
      </c>
      <c r="F24">
        <v>-0.10414301929625425</v>
      </c>
      <c r="G24">
        <v>-5.8856588157155221E-2</v>
      </c>
    </row>
    <row r="25" spans="1:7" x14ac:dyDescent="0.3">
      <c r="A25">
        <v>44127</v>
      </c>
      <c r="B25">
        <v>3.9169999999999998</v>
      </c>
      <c r="C25">
        <v>3.7080000000000002</v>
      </c>
      <c r="D25">
        <v>3.891</v>
      </c>
      <c r="E25">
        <v>3.798</v>
      </c>
      <c r="F25">
        <v>2.390131071703927E-2</v>
      </c>
      <c r="G25">
        <v>1.189384800965021E-2</v>
      </c>
    </row>
    <row r="26" spans="1:7" x14ac:dyDescent="0.3">
      <c r="A26">
        <v>44128</v>
      </c>
      <c r="B26">
        <v>3.8959999999999999</v>
      </c>
      <c r="C26">
        <v>3.7669999999999999</v>
      </c>
      <c r="D26">
        <v>3.798</v>
      </c>
      <c r="E26">
        <v>3.7789999999999999</v>
      </c>
      <c r="F26">
        <v>5.0026329647182566E-3</v>
      </c>
      <c r="G26">
        <v>-7.275923529555417E-3</v>
      </c>
    </row>
    <row r="27" spans="1:7" x14ac:dyDescent="0.3">
      <c r="A27">
        <v>44129</v>
      </c>
      <c r="B27">
        <v>3.76</v>
      </c>
      <c r="C27">
        <v>3.5920000000000001</v>
      </c>
      <c r="D27">
        <v>3.7789999999999999</v>
      </c>
      <c r="E27">
        <v>3.665</v>
      </c>
      <c r="F27">
        <v>3.0166710770044958E-2</v>
      </c>
      <c r="G27">
        <v>1.5004241910071547E-2</v>
      </c>
    </row>
    <row r="28" spans="1:7" x14ac:dyDescent="0.3">
      <c r="A28">
        <v>44130</v>
      </c>
      <c r="B28">
        <v>3.7120000000000002</v>
      </c>
      <c r="C28">
        <v>3.5249999999999999</v>
      </c>
      <c r="D28">
        <v>3.665</v>
      </c>
      <c r="E28">
        <v>3.5419999999999998</v>
      </c>
      <c r="F28">
        <v>3.3560709413369749E-2</v>
      </c>
      <c r="G28">
        <v>3.2606555763362577E-2</v>
      </c>
    </row>
    <row r="29" spans="1:7" x14ac:dyDescent="0.3">
      <c r="A29">
        <v>44131</v>
      </c>
      <c r="B29">
        <v>3.734</v>
      </c>
      <c r="C29">
        <v>3.4849999999999999</v>
      </c>
      <c r="D29">
        <v>3.5419999999999998</v>
      </c>
      <c r="E29">
        <v>3.556</v>
      </c>
      <c r="F29">
        <v>-3.9525691699604515E-3</v>
      </c>
      <c r="G29">
        <v>-2.7040777390552329E-2</v>
      </c>
    </row>
    <row r="30" spans="1:7" x14ac:dyDescent="0.3">
      <c r="A30">
        <v>44132</v>
      </c>
      <c r="B30">
        <v>3.7250000000000001</v>
      </c>
      <c r="C30">
        <v>3.319</v>
      </c>
      <c r="D30">
        <v>3.556</v>
      </c>
      <c r="E30">
        <v>3.6150000000000002</v>
      </c>
      <c r="F30">
        <v>-1.659167604049494E-2</v>
      </c>
      <c r="G30">
        <v>3.7078317729231758E-2</v>
      </c>
    </row>
    <row r="31" spans="1:7" x14ac:dyDescent="0.3">
      <c r="A31">
        <v>44133</v>
      </c>
      <c r="B31">
        <v>3.8490000000000002</v>
      </c>
      <c r="C31">
        <v>3.2349999999999999</v>
      </c>
      <c r="D31">
        <v>3.6150000000000002</v>
      </c>
      <c r="E31">
        <v>3.246</v>
      </c>
      <c r="F31">
        <v>0.10207468879668058</v>
      </c>
      <c r="G31">
        <v>3.163824369164181E-3</v>
      </c>
    </row>
    <row r="32" spans="1:7" x14ac:dyDescent="0.3">
      <c r="A32">
        <v>44134</v>
      </c>
      <c r="B32">
        <v>3.3029999999999999</v>
      </c>
      <c r="C32">
        <v>3.0329999999999999</v>
      </c>
      <c r="D32">
        <v>3.246</v>
      </c>
      <c r="E32">
        <v>3.1070000000000002</v>
      </c>
      <c r="F32">
        <v>4.2821934688847763E-2</v>
      </c>
      <c r="G32">
        <v>1.2334210662125256E-2</v>
      </c>
    </row>
    <row r="33" spans="1:7" x14ac:dyDescent="0.3">
      <c r="A33">
        <v>44135</v>
      </c>
      <c r="B33">
        <v>3.1829999999999998</v>
      </c>
      <c r="C33">
        <v>3.0089999999999999</v>
      </c>
      <c r="D33">
        <v>3.1070000000000002</v>
      </c>
      <c r="E33">
        <v>3.0230000000000001</v>
      </c>
      <c r="F33">
        <v>2.7035725780495623E-2</v>
      </c>
      <c r="G33">
        <v>-1.0476538823283477E-2</v>
      </c>
    </row>
    <row r="34" spans="1:7" x14ac:dyDescent="0.3">
      <c r="A34">
        <v>44136</v>
      </c>
      <c r="B34">
        <v>3.0190000000000001</v>
      </c>
      <c r="C34">
        <v>2.774</v>
      </c>
      <c r="D34">
        <v>3.0230000000000001</v>
      </c>
      <c r="E34">
        <v>2.9049999999999998</v>
      </c>
      <c r="F34">
        <v>3.9034072113794394E-2</v>
      </c>
      <c r="G34">
        <v>-2.5803449078263707E-2</v>
      </c>
    </row>
    <row r="35" spans="1:7" x14ac:dyDescent="0.3">
      <c r="A35">
        <v>44137</v>
      </c>
      <c r="B35">
        <v>2.9729999999999999</v>
      </c>
      <c r="C35">
        <v>2.6150000000000002</v>
      </c>
      <c r="D35">
        <v>2.9049999999999998</v>
      </c>
      <c r="E35">
        <v>2.6219999999999999</v>
      </c>
      <c r="F35">
        <v>9.7418244406196175E-2</v>
      </c>
      <c r="G35">
        <v>3.3119092627599156E-2</v>
      </c>
    </row>
    <row r="36" spans="1:7" x14ac:dyDescent="0.3">
      <c r="A36">
        <v>44138</v>
      </c>
      <c r="B36">
        <v>2.7109999999999999</v>
      </c>
      <c r="C36">
        <v>2.5329999999999999</v>
      </c>
      <c r="D36">
        <v>2.6219999999999999</v>
      </c>
      <c r="E36">
        <v>2.5750000000000002</v>
      </c>
      <c r="F36">
        <v>1.7925247902364494E-2</v>
      </c>
      <c r="G36">
        <v>-1.191314095044449E-2</v>
      </c>
    </row>
    <row r="37" spans="1:7" x14ac:dyDescent="0.3">
      <c r="A37">
        <v>44139</v>
      </c>
      <c r="B37">
        <v>2.7709999999999999</v>
      </c>
      <c r="C37">
        <v>2.5169999999999999</v>
      </c>
      <c r="D37">
        <v>2.5750000000000002</v>
      </c>
      <c r="E37">
        <v>2.7269999999999999</v>
      </c>
      <c r="F37">
        <v>-5.902912621359202E-2</v>
      </c>
      <c r="G37">
        <v>-3.730228244628786E-2</v>
      </c>
    </row>
    <row r="38" spans="1:7" x14ac:dyDescent="0.3">
      <c r="A38">
        <v>44140</v>
      </c>
      <c r="B38">
        <v>3.3460000000000001</v>
      </c>
      <c r="C38">
        <v>2.677</v>
      </c>
      <c r="D38">
        <v>2.7269999999999999</v>
      </c>
      <c r="E38">
        <v>3.1619999999999999</v>
      </c>
      <c r="F38">
        <v>-0.15951595159515963</v>
      </c>
      <c r="G38">
        <v>-3.5339989072666667E-2</v>
      </c>
    </row>
    <row r="39" spans="1:7" x14ac:dyDescent="0.3">
      <c r="A39">
        <v>44141</v>
      </c>
      <c r="B39">
        <v>3.7120000000000002</v>
      </c>
      <c r="C39">
        <v>3.1589999999999998</v>
      </c>
      <c r="D39">
        <v>3.1619999999999999</v>
      </c>
      <c r="E39">
        <v>3.5419999999999998</v>
      </c>
      <c r="F39">
        <v>-0.12017710309930418</v>
      </c>
      <c r="G39">
        <v>-9.4581304420830348E-2</v>
      </c>
    </row>
    <row r="40" spans="1:7" x14ac:dyDescent="0.3">
      <c r="A40">
        <v>44142</v>
      </c>
      <c r="B40">
        <v>4.5970000000000004</v>
      </c>
      <c r="C40">
        <v>3.55</v>
      </c>
      <c r="D40">
        <v>3.5609999999999999</v>
      </c>
      <c r="E40">
        <v>3.8170000000000002</v>
      </c>
      <c r="F40">
        <v>-7.7639751552795122E-2</v>
      </c>
      <c r="G40">
        <v>4.4924614305750343E-2</v>
      </c>
    </row>
    <row r="41" spans="1:7" x14ac:dyDescent="0.3">
      <c r="A41">
        <v>44143</v>
      </c>
      <c r="B41">
        <v>4.5</v>
      </c>
      <c r="C41">
        <v>3.7370000000000001</v>
      </c>
      <c r="D41">
        <v>3.8170000000000002</v>
      </c>
      <c r="E41">
        <v>4.407</v>
      </c>
      <c r="F41">
        <v>-0.15457165313073085</v>
      </c>
      <c r="G41">
        <v>-4.3412417970721817E-2</v>
      </c>
    </row>
    <row r="42" spans="1:7" x14ac:dyDescent="0.3">
      <c r="A42">
        <v>44144</v>
      </c>
      <c r="B42">
        <v>4.532</v>
      </c>
      <c r="C42">
        <v>4.0650000000000004</v>
      </c>
      <c r="D42">
        <v>4.4130000000000003</v>
      </c>
      <c r="E42">
        <v>4.24</v>
      </c>
      <c r="F42">
        <v>3.7894259133197106E-2</v>
      </c>
      <c r="G42">
        <v>2.2628315081145267E-2</v>
      </c>
    </row>
    <row r="43" spans="1:7" x14ac:dyDescent="0.3">
      <c r="A43">
        <v>44145</v>
      </c>
      <c r="B43">
        <v>5.1420000000000003</v>
      </c>
      <c r="C43">
        <v>4.1470000000000002</v>
      </c>
      <c r="D43">
        <v>4.24</v>
      </c>
      <c r="E43">
        <v>4.681</v>
      </c>
      <c r="F43">
        <v>-0.10400943396226414</v>
      </c>
      <c r="G43">
        <v>-1.4422319721003607E-2</v>
      </c>
    </row>
    <row r="44" spans="1:7" x14ac:dyDescent="0.3">
      <c r="A44">
        <v>44146</v>
      </c>
      <c r="B44">
        <v>4.8579999999999997</v>
      </c>
      <c r="C44">
        <v>3.9710000000000001</v>
      </c>
      <c r="D44">
        <v>4.681</v>
      </c>
      <c r="E44">
        <v>3.9969999999999999</v>
      </c>
      <c r="F44">
        <v>0.14612262337107462</v>
      </c>
      <c r="G44">
        <v>-2.8944683493767442E-2</v>
      </c>
    </row>
    <row r="45" spans="1:7" x14ac:dyDescent="0.3">
      <c r="A45">
        <v>44147</v>
      </c>
      <c r="B45">
        <v>4.3899999999999997</v>
      </c>
      <c r="C45">
        <v>3.734</v>
      </c>
      <c r="D45">
        <v>3.9969999999999999</v>
      </c>
      <c r="E45">
        <v>3.7749999999999999</v>
      </c>
      <c r="F45">
        <v>5.5541656242181658E-2</v>
      </c>
      <c r="G45">
        <v>2.4358172921472576E-3</v>
      </c>
    </row>
    <row r="46" spans="1:7" x14ac:dyDescent="0.3">
      <c r="A46">
        <v>44148</v>
      </c>
      <c r="B46">
        <v>4.4649999999999999</v>
      </c>
      <c r="C46">
        <v>3.4540000000000002</v>
      </c>
      <c r="D46">
        <v>3.7909999999999999</v>
      </c>
      <c r="E46">
        <v>4.2069999999999999</v>
      </c>
      <c r="F46">
        <v>-0.1144370860927153</v>
      </c>
      <c r="G46">
        <v>-3.0446432430096371E-2</v>
      </c>
    </row>
    <row r="47" spans="1:7" x14ac:dyDescent="0.3">
      <c r="A47">
        <v>44149</v>
      </c>
      <c r="B47">
        <v>4.556</v>
      </c>
      <c r="C47">
        <v>3.9260000000000002</v>
      </c>
      <c r="D47">
        <v>4.2300000000000004</v>
      </c>
      <c r="E47">
        <v>4.3159999999999998</v>
      </c>
      <c r="F47">
        <v>-2.5909198954124024E-2</v>
      </c>
      <c r="G47">
        <v>3.3216599911925715E-2</v>
      </c>
    </row>
    <row r="48" spans="1:7" x14ac:dyDescent="0.3">
      <c r="A48">
        <v>44150</v>
      </c>
      <c r="B48">
        <v>4.5469999999999997</v>
      </c>
      <c r="C48">
        <v>3.9910000000000001</v>
      </c>
      <c r="D48">
        <v>4.3159999999999998</v>
      </c>
      <c r="E48">
        <v>4.1349999999999998</v>
      </c>
      <c r="F48">
        <v>4.1936978683966619E-2</v>
      </c>
      <c r="G48">
        <v>2.7156584170227482E-2</v>
      </c>
    </row>
    <row r="49" spans="1:7" x14ac:dyDescent="0.3">
      <c r="A49">
        <v>44151</v>
      </c>
      <c r="B49">
        <v>4.5869999999999997</v>
      </c>
      <c r="C49">
        <v>4.2370000000000001</v>
      </c>
      <c r="D49">
        <v>4.1349999999999998</v>
      </c>
      <c r="E49">
        <v>4.4260000000000002</v>
      </c>
      <c r="F49">
        <v>-7.0374848851269656E-2</v>
      </c>
      <c r="G49">
        <v>-2.7870058638603368E-2</v>
      </c>
    </row>
    <row r="50" spans="1:7" x14ac:dyDescent="0.3">
      <c r="A50">
        <v>44152</v>
      </c>
      <c r="B50">
        <v>5.2939999999999996</v>
      </c>
      <c r="C50">
        <v>4.633</v>
      </c>
      <c r="D50">
        <v>4.4260000000000002</v>
      </c>
      <c r="E50">
        <v>5.085</v>
      </c>
      <c r="F50">
        <v>-0.14889290555806589</v>
      </c>
      <c r="G50">
        <v>-4.7070562460684195E-2</v>
      </c>
    </row>
    <row r="51" spans="1:7" x14ac:dyDescent="0.3">
      <c r="A51">
        <v>44153</v>
      </c>
      <c r="B51">
        <v>5.2220000000000004</v>
      </c>
      <c r="C51">
        <v>4.5389999999999997</v>
      </c>
      <c r="D51">
        <v>5.085</v>
      </c>
      <c r="E51">
        <v>4.8789999999999996</v>
      </c>
      <c r="F51">
        <v>4.0511307767944982E-2</v>
      </c>
      <c r="G51">
        <v>8.1829669988191522E-3</v>
      </c>
    </row>
    <row r="52" spans="1:7" x14ac:dyDescent="0.3">
      <c r="A52">
        <v>44154</v>
      </c>
      <c r="B52">
        <v>5.2050000000000001</v>
      </c>
      <c r="C52">
        <v>4.681</v>
      </c>
      <c r="D52">
        <v>4.8789999999999996</v>
      </c>
      <c r="E52">
        <v>4.9870000000000001</v>
      </c>
      <c r="F52">
        <v>-2.2135683541709472E-2</v>
      </c>
      <c r="G52">
        <v>1.4495780766981325E-2</v>
      </c>
    </row>
    <row r="53" spans="1:7" x14ac:dyDescent="0.3">
      <c r="A53">
        <v>44155</v>
      </c>
      <c r="B53">
        <v>5.8019999999999996</v>
      </c>
      <c r="C53">
        <v>5.0999999999999996</v>
      </c>
      <c r="D53">
        <v>4.9870000000000001</v>
      </c>
      <c r="E53">
        <v>5.1349999999999998</v>
      </c>
      <c r="F53">
        <v>-2.9677160617605614E-2</v>
      </c>
      <c r="G53">
        <v>-8.1832054597092085E-2</v>
      </c>
    </row>
    <row r="54" spans="1:7" x14ac:dyDescent="0.3">
      <c r="A54">
        <v>44156</v>
      </c>
      <c r="B54">
        <v>5.5460000000000003</v>
      </c>
      <c r="C54">
        <v>5.1159999999999997</v>
      </c>
      <c r="D54">
        <v>5.1349999999999998</v>
      </c>
      <c r="E54">
        <v>5.2610000000000001</v>
      </c>
      <c r="F54">
        <v>-2.453748782862708E-2</v>
      </c>
      <c r="G54">
        <v>-8.195051231314765E-2</v>
      </c>
    </row>
    <row r="55" spans="1:7" x14ac:dyDescent="0.3">
      <c r="A55">
        <v>44157</v>
      </c>
      <c r="B55">
        <v>5.2489999999999997</v>
      </c>
      <c r="C55">
        <v>4.8120000000000003</v>
      </c>
      <c r="D55">
        <v>5.2610000000000001</v>
      </c>
      <c r="E55">
        <v>5.008</v>
      </c>
      <c r="F55">
        <v>4.8089716783881409E-2</v>
      </c>
      <c r="G55">
        <v>-1.4033245210589129E-2</v>
      </c>
    </row>
    <row r="56" spans="1:7" x14ac:dyDescent="0.3">
      <c r="A56">
        <v>44158</v>
      </c>
      <c r="B56">
        <v>5.54</v>
      </c>
      <c r="C56">
        <v>4.9950000000000001</v>
      </c>
      <c r="D56">
        <v>5.008</v>
      </c>
      <c r="E56">
        <v>5.4550000000000001</v>
      </c>
      <c r="F56">
        <v>-8.9257188498402584E-2</v>
      </c>
      <c r="G56">
        <v>-8.7712719415724782E-2</v>
      </c>
    </row>
    <row r="57" spans="1:7" x14ac:dyDescent="0.3">
      <c r="A57">
        <v>44159</v>
      </c>
      <c r="B57">
        <v>6.1130000000000004</v>
      </c>
      <c r="C57">
        <v>5.1710000000000003</v>
      </c>
      <c r="D57">
        <v>5.4550000000000001</v>
      </c>
      <c r="E57">
        <v>5.2359999999999998</v>
      </c>
      <c r="F57">
        <v>4.0146654445462948E-2</v>
      </c>
      <c r="G57">
        <v>6.8129955838654999E-3</v>
      </c>
    </row>
    <row r="58" spans="1:7" x14ac:dyDescent="0.3">
      <c r="A58">
        <v>44160</v>
      </c>
      <c r="B58">
        <v>5.2380000000000004</v>
      </c>
      <c r="C58">
        <v>4.5730000000000004</v>
      </c>
      <c r="D58">
        <v>5.2359999999999998</v>
      </c>
      <c r="E58">
        <v>4.8140000000000001</v>
      </c>
      <c r="F58">
        <v>8.0595874713521698E-2</v>
      </c>
      <c r="G58">
        <v>5.8811861549142197E-2</v>
      </c>
    </row>
    <row r="59" spans="1:7" x14ac:dyDescent="0.3">
      <c r="A59">
        <v>44161</v>
      </c>
      <c r="B59">
        <v>4.4210000000000003</v>
      </c>
      <c r="C59">
        <v>3.375</v>
      </c>
      <c r="D59">
        <v>4.8140000000000001</v>
      </c>
      <c r="E59">
        <v>4.3440000000000003</v>
      </c>
      <c r="F59">
        <v>9.7631906938097202E-2</v>
      </c>
      <c r="G59">
        <v>8.6371619248331477E-2</v>
      </c>
    </row>
    <row r="60" spans="1:7" x14ac:dyDescent="0.3">
      <c r="A60">
        <v>44162</v>
      </c>
      <c r="B60">
        <v>4.5359999999999996</v>
      </c>
      <c r="C60">
        <v>4.0309999999999997</v>
      </c>
      <c r="D60">
        <v>4.3440000000000003</v>
      </c>
      <c r="E60">
        <v>4.1210000000000004</v>
      </c>
      <c r="F60">
        <v>5.133517495395945E-2</v>
      </c>
      <c r="G60">
        <v>2.671946484179788E-3</v>
      </c>
    </row>
    <row r="61" spans="1:7" x14ac:dyDescent="0.3">
      <c r="A61">
        <v>44163</v>
      </c>
      <c r="B61">
        <v>4.4969999999999999</v>
      </c>
      <c r="C61">
        <v>4.1879999999999997</v>
      </c>
      <c r="D61">
        <v>4.1210000000000004</v>
      </c>
      <c r="E61">
        <v>4.2699999999999996</v>
      </c>
      <c r="F61">
        <v>-3.615627274933253E-2</v>
      </c>
      <c r="G61">
        <v>-3.6929244646608739E-2</v>
      </c>
    </row>
    <row r="62" spans="1:7" x14ac:dyDescent="0.3">
      <c r="A62">
        <v>44164</v>
      </c>
      <c r="B62">
        <v>4.4580000000000002</v>
      </c>
      <c r="C62">
        <v>4.2619999999999996</v>
      </c>
      <c r="D62">
        <v>4.2699999999999996</v>
      </c>
      <c r="E62">
        <v>4.4080000000000004</v>
      </c>
      <c r="F62">
        <v>-3.2318501170960356E-2</v>
      </c>
      <c r="G62">
        <v>-5.0354095801037335E-2</v>
      </c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4B33-830F-4241-B916-EF5D92F88246}">
  <sheetPr codeName="Sheet9">
    <tabColor rgb="FFC6E0B4"/>
  </sheetPr>
  <dimension ref="A1:G99"/>
  <sheetViews>
    <sheetView workbookViewId="0">
      <selection activeCell="F72" sqref="F72"/>
    </sheetView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44104</v>
      </c>
      <c r="B2">
        <v>4.3890000000000002</v>
      </c>
      <c r="C2">
        <v>3.95</v>
      </c>
      <c r="D2">
        <v>4.3860000000000001</v>
      </c>
      <c r="E2">
        <v>4.157</v>
      </c>
      <c r="F2"/>
      <c r="G2"/>
    </row>
    <row r="3" spans="1:7" x14ac:dyDescent="0.3">
      <c r="A3">
        <v>44105</v>
      </c>
      <c r="B3">
        <v>4.5179999999999998</v>
      </c>
      <c r="C3">
        <v>3.94</v>
      </c>
      <c r="D3">
        <v>4.157</v>
      </c>
      <c r="E3">
        <v>4.242</v>
      </c>
      <c r="F3">
        <v>-2.0447438056290679E-2</v>
      </c>
      <c r="G3">
        <v>1.8370296259240804E-2</v>
      </c>
    </row>
    <row r="4" spans="1:7" x14ac:dyDescent="0.3">
      <c r="A4">
        <v>44106</v>
      </c>
      <c r="B4">
        <v>4.242</v>
      </c>
      <c r="C4">
        <v>3.5779999999999998</v>
      </c>
      <c r="D4">
        <v>4.242</v>
      </c>
      <c r="E4">
        <v>3.8929999999999998</v>
      </c>
      <c r="F4">
        <v>8.2272512965582356E-2</v>
      </c>
      <c r="G4">
        <v>2.0894085671413598E-2</v>
      </c>
    </row>
    <row r="5" spans="1:7" x14ac:dyDescent="0.3">
      <c r="A5">
        <v>44107</v>
      </c>
      <c r="B5">
        <v>4.1310000000000002</v>
      </c>
      <c r="C5">
        <v>3.831</v>
      </c>
      <c r="D5">
        <v>3.8929999999999998</v>
      </c>
      <c r="E5">
        <v>3.9049999999999998</v>
      </c>
      <c r="F5">
        <v>-3.0824556896995592E-3</v>
      </c>
      <c r="G5">
        <v>-1.4168811265651282E-3</v>
      </c>
    </row>
    <row r="6" spans="1:7" x14ac:dyDescent="0.3">
      <c r="A6">
        <v>44108</v>
      </c>
      <c r="B6">
        <v>3.9430000000000001</v>
      </c>
      <c r="C6">
        <v>3.6070000000000002</v>
      </c>
      <c r="D6">
        <v>3.9049999999999998</v>
      </c>
      <c r="E6">
        <v>3.722</v>
      </c>
      <c r="F6">
        <v>4.6862996158770764E-2</v>
      </c>
      <c r="G6">
        <v>-1.816239316239332E-2</v>
      </c>
    </row>
    <row r="7" spans="1:7" x14ac:dyDescent="0.3">
      <c r="A7">
        <v>44109</v>
      </c>
      <c r="B7">
        <v>3.7959999999999998</v>
      </c>
      <c r="C7">
        <v>3.1869999999999998</v>
      </c>
      <c r="D7">
        <v>3.722</v>
      </c>
      <c r="E7">
        <v>3.323</v>
      </c>
      <c r="F7">
        <v>0.10720042987641054</v>
      </c>
      <c r="G7">
        <v>-3.2613936076684169E-3</v>
      </c>
    </row>
    <row r="8" spans="1:7" x14ac:dyDescent="0.3">
      <c r="A8">
        <v>44110</v>
      </c>
      <c r="B8">
        <v>3.3530000000000002</v>
      </c>
      <c r="C8">
        <v>2.6280000000000001</v>
      </c>
      <c r="D8">
        <v>3.323</v>
      </c>
      <c r="E8">
        <v>2.7149999999999999</v>
      </c>
      <c r="F8">
        <v>0.18296719831477581</v>
      </c>
      <c r="G8">
        <v>3.6493668023518722E-2</v>
      </c>
    </row>
    <row r="9" spans="1:7" x14ac:dyDescent="0.3">
      <c r="A9">
        <v>44111</v>
      </c>
      <c r="B9">
        <v>3.0089999999999999</v>
      </c>
      <c r="C9">
        <v>2.4790000000000001</v>
      </c>
      <c r="D9">
        <v>2.7149999999999999</v>
      </c>
      <c r="E9">
        <v>2.9649999999999999</v>
      </c>
      <c r="F9">
        <v>-9.2081031307550631E-2</v>
      </c>
      <c r="G9">
        <v>-3.1098723778788528E-3</v>
      </c>
    </row>
    <row r="10" spans="1:7" x14ac:dyDescent="0.3">
      <c r="A10">
        <v>44112</v>
      </c>
      <c r="B10">
        <v>3.468</v>
      </c>
      <c r="C10">
        <v>2.6539999999999999</v>
      </c>
      <c r="D10">
        <v>2.9649999999999999</v>
      </c>
      <c r="E10">
        <v>3.3540000000000001</v>
      </c>
      <c r="F10">
        <v>-0.1311973018549748</v>
      </c>
      <c r="G10">
        <v>-2.7170892925038714E-2</v>
      </c>
    </row>
    <row r="11" spans="1:7" x14ac:dyDescent="0.3">
      <c r="A11">
        <v>44113</v>
      </c>
      <c r="B11">
        <v>3.6</v>
      </c>
      <c r="C11">
        <v>3.1749999999999998</v>
      </c>
      <c r="D11">
        <v>3.3540000000000001</v>
      </c>
      <c r="E11">
        <v>3.387</v>
      </c>
      <c r="F11">
        <v>-9.8389982110911323E-3</v>
      </c>
      <c r="G11">
        <v>-4.0461275626423765E-2</v>
      </c>
    </row>
    <row r="12" spans="1:7" x14ac:dyDescent="0.3">
      <c r="A12">
        <v>44114</v>
      </c>
      <c r="B12">
        <v>3.657</v>
      </c>
      <c r="C12">
        <v>3.2730000000000001</v>
      </c>
      <c r="D12">
        <v>3.387</v>
      </c>
      <c r="E12">
        <v>3.2959999999999998</v>
      </c>
      <c r="F12">
        <v>2.6867434307646931E-2</v>
      </c>
      <c r="G12">
        <v>-1.4969486330423276E-2</v>
      </c>
    </row>
    <row r="13" spans="1:7" x14ac:dyDescent="0.3">
      <c r="A13">
        <v>44115</v>
      </c>
      <c r="B13">
        <v>3.4510000000000001</v>
      </c>
      <c r="C13">
        <v>3.1829999999999998</v>
      </c>
      <c r="D13">
        <v>3.2959999999999998</v>
      </c>
      <c r="E13">
        <v>3.363</v>
      </c>
      <c r="F13">
        <v>-2.0327669902912682E-2</v>
      </c>
      <c r="G13">
        <v>-9.4100517687663032E-3</v>
      </c>
    </row>
    <row r="14" spans="1:7" x14ac:dyDescent="0.3">
      <c r="A14">
        <v>44116</v>
      </c>
      <c r="B14">
        <v>3.617</v>
      </c>
      <c r="C14">
        <v>3.286</v>
      </c>
      <c r="D14">
        <v>3.363</v>
      </c>
      <c r="E14">
        <v>3.4569999999999999</v>
      </c>
      <c r="F14">
        <v>-2.7951234017246529E-2</v>
      </c>
      <c r="G14">
        <v>-3.3496273739882954E-2</v>
      </c>
    </row>
    <row r="15" spans="1:7" x14ac:dyDescent="0.3">
      <c r="A15">
        <v>44117</v>
      </c>
      <c r="B15">
        <v>3.4990000000000001</v>
      </c>
      <c r="C15">
        <v>3.294</v>
      </c>
      <c r="D15">
        <v>3.4569999999999999</v>
      </c>
      <c r="E15">
        <v>3.351</v>
      </c>
      <c r="F15">
        <v>3.0662424067110172E-2</v>
      </c>
      <c r="G15">
        <v>1.421519216355227E-2</v>
      </c>
    </row>
    <row r="16" spans="1:7" x14ac:dyDescent="0.3">
      <c r="A16">
        <v>44118</v>
      </c>
      <c r="B16">
        <v>3.4369999999999998</v>
      </c>
      <c r="C16">
        <v>2.9729999999999999</v>
      </c>
      <c r="D16">
        <v>3.351</v>
      </c>
      <c r="E16">
        <v>3.1110000000000002</v>
      </c>
      <c r="F16">
        <v>7.1620411817367891E-2</v>
      </c>
      <c r="G16">
        <v>6.0302561547941336E-3</v>
      </c>
    </row>
    <row r="17" spans="1:7" x14ac:dyDescent="0.3">
      <c r="A17">
        <v>44119</v>
      </c>
      <c r="B17">
        <v>3.1819999999999999</v>
      </c>
      <c r="C17">
        <v>2.9209999999999998</v>
      </c>
      <c r="D17">
        <v>3.1110000000000002</v>
      </c>
      <c r="E17">
        <v>3.0840000000000001</v>
      </c>
      <c r="F17">
        <v>8.6788813886210514E-3</v>
      </c>
      <c r="G17">
        <v>3.7192371607185359E-3</v>
      </c>
    </row>
    <row r="18" spans="1:7" x14ac:dyDescent="0.3">
      <c r="A18">
        <v>44120</v>
      </c>
      <c r="B18">
        <v>3.38</v>
      </c>
      <c r="C18">
        <v>2.8980000000000001</v>
      </c>
      <c r="D18">
        <v>3.0840000000000001</v>
      </c>
      <c r="E18">
        <v>3.0430000000000001</v>
      </c>
      <c r="F18">
        <v>1.329442282749671E-2</v>
      </c>
      <c r="G18">
        <v>3.2088959491660018E-2</v>
      </c>
    </row>
    <row r="19" spans="1:7" x14ac:dyDescent="0.3">
      <c r="A19">
        <v>44121</v>
      </c>
      <c r="B19">
        <v>3.1190000000000002</v>
      </c>
      <c r="C19">
        <v>2.9809999999999999</v>
      </c>
      <c r="D19">
        <v>3.0430000000000001</v>
      </c>
      <c r="E19">
        <v>3.0619999999999998</v>
      </c>
      <c r="F19">
        <v>-6.2438383174496792E-3</v>
      </c>
      <c r="G19">
        <v>-8.3976147491657827E-3</v>
      </c>
    </row>
    <row r="20" spans="1:7" x14ac:dyDescent="0.3">
      <c r="A20">
        <v>44122</v>
      </c>
      <c r="B20">
        <v>3.29</v>
      </c>
      <c r="C20">
        <v>3.0459999999999998</v>
      </c>
      <c r="D20">
        <v>3.0619999999999998</v>
      </c>
      <c r="E20">
        <v>3.2850000000000001</v>
      </c>
      <c r="F20">
        <v>-7.2828216851730909E-2</v>
      </c>
      <c r="G20">
        <v>-2.6556354265563575E-2</v>
      </c>
    </row>
    <row r="21" spans="1:7" x14ac:dyDescent="0.3">
      <c r="A21">
        <v>44123</v>
      </c>
      <c r="B21">
        <v>3.2890000000000001</v>
      </c>
      <c r="C21">
        <v>3.11</v>
      </c>
      <c r="D21">
        <v>3.2850000000000001</v>
      </c>
      <c r="E21">
        <v>3.173</v>
      </c>
      <c r="F21">
        <v>3.4094368340943704E-2</v>
      </c>
      <c r="G21">
        <v>-2.5631540006343378E-3</v>
      </c>
    </row>
    <row r="22" spans="1:7" x14ac:dyDescent="0.3">
      <c r="A22">
        <v>44124</v>
      </c>
      <c r="B22">
        <v>3.1920000000000002</v>
      </c>
      <c r="C22">
        <v>2.823</v>
      </c>
      <c r="D22">
        <v>3.173</v>
      </c>
      <c r="E22">
        <v>2.8610000000000002</v>
      </c>
      <c r="F22">
        <v>9.8329656476520588E-2</v>
      </c>
      <c r="G22">
        <v>2.8122611422998878E-2</v>
      </c>
    </row>
    <row r="23" spans="1:7" x14ac:dyDescent="0.3">
      <c r="A23">
        <v>44125</v>
      </c>
      <c r="B23">
        <v>3.0880000000000001</v>
      </c>
      <c r="C23">
        <v>2.843</v>
      </c>
      <c r="D23">
        <v>2.8610000000000002</v>
      </c>
      <c r="E23">
        <v>2.9430000000000001</v>
      </c>
      <c r="F23">
        <v>-2.8661307235232414E-2</v>
      </c>
      <c r="G23">
        <v>-6.1615230243531993E-2</v>
      </c>
    </row>
    <row r="24" spans="1:7" x14ac:dyDescent="0.3">
      <c r="A24">
        <v>44126</v>
      </c>
      <c r="B24">
        <v>3.153</v>
      </c>
      <c r="C24">
        <v>2.9260000000000002</v>
      </c>
      <c r="D24">
        <v>2.9430000000000001</v>
      </c>
      <c r="E24">
        <v>3.0459999999999998</v>
      </c>
      <c r="F24">
        <v>-3.4998301053346781E-2</v>
      </c>
      <c r="G24">
        <v>-5.8856588157155221E-2</v>
      </c>
    </row>
    <row r="25" spans="1:7" x14ac:dyDescent="0.3">
      <c r="A25">
        <v>44127</v>
      </c>
      <c r="B25">
        <v>3.125</v>
      </c>
      <c r="C25">
        <v>2.9689999999999999</v>
      </c>
      <c r="D25">
        <v>3.0459999999999998</v>
      </c>
      <c r="E25">
        <v>3.0169999999999999</v>
      </c>
      <c r="F25">
        <v>9.5206828627708573E-3</v>
      </c>
      <c r="G25">
        <v>1.189384800965021E-2</v>
      </c>
    </row>
    <row r="26" spans="1:7" x14ac:dyDescent="0.3">
      <c r="A26">
        <v>44128</v>
      </c>
      <c r="B26">
        <v>3.085</v>
      </c>
      <c r="C26">
        <v>2.931</v>
      </c>
      <c r="D26">
        <v>3.0169999999999999</v>
      </c>
      <c r="E26">
        <v>2.9449999999999998</v>
      </c>
      <c r="F26">
        <v>2.3864766324163122E-2</v>
      </c>
      <c r="G26">
        <v>-7.275923529555417E-3</v>
      </c>
    </row>
    <row r="27" spans="1:7" x14ac:dyDescent="0.3">
      <c r="A27">
        <v>44129</v>
      </c>
      <c r="B27">
        <v>2.9689999999999999</v>
      </c>
      <c r="C27">
        <v>2.7170000000000001</v>
      </c>
      <c r="D27">
        <v>2.9449999999999998</v>
      </c>
      <c r="E27">
        <v>2.7789999999999999</v>
      </c>
      <c r="F27">
        <v>5.636672325976233E-2</v>
      </c>
      <c r="G27">
        <v>1.5004241910071547E-2</v>
      </c>
    </row>
    <row r="28" spans="1:7" x14ac:dyDescent="0.3">
      <c r="A28">
        <v>44130</v>
      </c>
      <c r="B28">
        <v>2.875</v>
      </c>
      <c r="C28">
        <v>2.5339999999999998</v>
      </c>
      <c r="D28">
        <v>2.7789999999999999</v>
      </c>
      <c r="E28">
        <v>2.7130000000000001</v>
      </c>
      <c r="F28">
        <v>2.3749550197912805E-2</v>
      </c>
      <c r="G28">
        <v>3.2606555763362577E-2</v>
      </c>
    </row>
    <row r="29" spans="1:7" x14ac:dyDescent="0.3">
      <c r="A29">
        <v>44131</v>
      </c>
      <c r="B29">
        <v>2.9129999999999998</v>
      </c>
      <c r="C29">
        <v>2.706</v>
      </c>
      <c r="D29">
        <v>2.7130000000000001</v>
      </c>
      <c r="E29">
        <v>2.8210000000000002</v>
      </c>
      <c r="F29">
        <v>-3.980833026170294E-2</v>
      </c>
      <c r="G29">
        <v>-2.7040777390552329E-2</v>
      </c>
    </row>
    <row r="30" spans="1:7" x14ac:dyDescent="0.3">
      <c r="A30">
        <v>44132</v>
      </c>
      <c r="B30">
        <v>2.8540000000000001</v>
      </c>
      <c r="C30">
        <v>2.597</v>
      </c>
      <c r="D30">
        <v>2.8210000000000002</v>
      </c>
      <c r="E30">
        <v>2.665</v>
      </c>
      <c r="F30">
        <v>5.5299539170507006E-2</v>
      </c>
      <c r="G30">
        <v>3.7078317729231758E-2</v>
      </c>
    </row>
    <row r="31" spans="1:7" x14ac:dyDescent="0.3">
      <c r="A31">
        <v>44133</v>
      </c>
      <c r="B31">
        <v>2.7389999999999999</v>
      </c>
      <c r="C31">
        <v>2.4929999999999999</v>
      </c>
      <c r="D31">
        <v>2.665</v>
      </c>
      <c r="E31">
        <v>2.5409999999999999</v>
      </c>
      <c r="F31">
        <v>4.6529080675422163E-2</v>
      </c>
      <c r="G31">
        <v>3.163824369164181E-3</v>
      </c>
    </row>
    <row r="32" spans="1:7" x14ac:dyDescent="0.3">
      <c r="A32">
        <v>44134</v>
      </c>
      <c r="B32">
        <v>2.5640000000000001</v>
      </c>
      <c r="C32">
        <v>2.2440000000000002</v>
      </c>
      <c r="D32">
        <v>2.5409999999999999</v>
      </c>
      <c r="E32">
        <v>2.4169999999999998</v>
      </c>
      <c r="F32">
        <v>4.879968516332156E-2</v>
      </c>
      <c r="G32">
        <v>1.2334210662125256E-2</v>
      </c>
    </row>
    <row r="33" spans="1:7" x14ac:dyDescent="0.3">
      <c r="A33">
        <v>44135</v>
      </c>
      <c r="B33">
        <v>2.4169999999999998</v>
      </c>
      <c r="C33">
        <v>2.2440000000000002</v>
      </c>
      <c r="D33">
        <v>2.4169999999999998</v>
      </c>
      <c r="E33">
        <v>2.2690000000000001</v>
      </c>
      <c r="F33">
        <v>6.1232933388498001E-2</v>
      </c>
      <c r="G33">
        <v>-1.0476538823283477E-2</v>
      </c>
    </row>
    <row r="34" spans="1:7" x14ac:dyDescent="0.3">
      <c r="A34">
        <v>44136</v>
      </c>
      <c r="B34">
        <v>2.4489999999999998</v>
      </c>
      <c r="C34">
        <v>2.2189999999999999</v>
      </c>
      <c r="D34">
        <v>2.2690000000000001</v>
      </c>
      <c r="E34">
        <v>2.379</v>
      </c>
      <c r="F34">
        <v>-4.8479506390480376E-2</v>
      </c>
      <c r="G34">
        <v>-2.5803449078263707E-2</v>
      </c>
    </row>
    <row r="35" spans="1:7" x14ac:dyDescent="0.3">
      <c r="A35">
        <v>44137</v>
      </c>
      <c r="B35">
        <v>2.4540000000000002</v>
      </c>
      <c r="C35">
        <v>2.2269999999999999</v>
      </c>
      <c r="D35">
        <v>2.379</v>
      </c>
      <c r="E35">
        <v>2.2559999999999998</v>
      </c>
      <c r="F35">
        <v>5.1702395964691172E-2</v>
      </c>
      <c r="G35">
        <v>3.3119092627599156E-2</v>
      </c>
    </row>
    <row r="36" spans="1:7" x14ac:dyDescent="0.3">
      <c r="A36">
        <v>44138</v>
      </c>
      <c r="B36">
        <v>2.286</v>
      </c>
      <c r="C36">
        <v>2.0569999999999999</v>
      </c>
      <c r="D36">
        <v>2.2559999999999998</v>
      </c>
      <c r="E36">
        <v>2.137</v>
      </c>
      <c r="F36">
        <v>5.2748226950354526E-2</v>
      </c>
      <c r="G36">
        <v>-1.191314095044449E-2</v>
      </c>
    </row>
    <row r="37" spans="1:7" x14ac:dyDescent="0.3">
      <c r="A37">
        <v>44139</v>
      </c>
      <c r="B37">
        <v>2.1659999999999999</v>
      </c>
      <c r="C37">
        <v>1.88</v>
      </c>
      <c r="D37">
        <v>2.137</v>
      </c>
      <c r="E37">
        <v>1.9279999999999999</v>
      </c>
      <c r="F37">
        <v>9.7800655124005598E-2</v>
      </c>
      <c r="G37">
        <v>-3.730228244628786E-2</v>
      </c>
    </row>
    <row r="38" spans="1:7" x14ac:dyDescent="0.3">
      <c r="A38">
        <v>44140</v>
      </c>
      <c r="B38">
        <v>2.415</v>
      </c>
      <c r="C38">
        <v>1.7609999999999999</v>
      </c>
      <c r="D38">
        <v>1.9279999999999999</v>
      </c>
      <c r="E38">
        <v>2.1949999999999998</v>
      </c>
      <c r="F38">
        <v>-0.13848547717842319</v>
      </c>
      <c r="G38">
        <v>-3.5339989072666667E-2</v>
      </c>
    </row>
    <row r="39" spans="1:7" x14ac:dyDescent="0.3">
      <c r="A39">
        <v>44141</v>
      </c>
      <c r="B39">
        <v>2.6869999999999998</v>
      </c>
      <c r="C39">
        <v>2.1789999999999998</v>
      </c>
      <c r="D39">
        <v>2.1949999999999998</v>
      </c>
      <c r="E39">
        <v>2.569</v>
      </c>
      <c r="F39">
        <v>-0.17038724373576319</v>
      </c>
      <c r="G39">
        <v>-9.4581304420830348E-2</v>
      </c>
    </row>
    <row r="40" spans="1:7" x14ac:dyDescent="0.3">
      <c r="A40">
        <v>44142</v>
      </c>
      <c r="B40">
        <v>3.0190000000000001</v>
      </c>
      <c r="C40">
        <v>2.4369999999999998</v>
      </c>
      <c r="D40">
        <v>2.569</v>
      </c>
      <c r="E40">
        <v>2.4769999999999999</v>
      </c>
      <c r="F40">
        <v>3.5811599844297382E-2</v>
      </c>
      <c r="G40">
        <v>4.4924614305750343E-2</v>
      </c>
    </row>
    <row r="41" spans="1:7" x14ac:dyDescent="0.3">
      <c r="A41">
        <v>44143</v>
      </c>
      <c r="B41">
        <v>2.92</v>
      </c>
      <c r="C41">
        <v>2.4409999999999998</v>
      </c>
      <c r="D41">
        <v>2.4769999999999999</v>
      </c>
      <c r="E41">
        <v>2.8660000000000001</v>
      </c>
      <c r="F41">
        <v>-0.15704481227291089</v>
      </c>
      <c r="G41">
        <v>-4.3412417970721817E-2</v>
      </c>
    </row>
    <row r="42" spans="1:7" x14ac:dyDescent="0.3">
      <c r="A42">
        <v>44144</v>
      </c>
      <c r="B42">
        <v>2.88</v>
      </c>
      <c r="C42">
        <v>2.5830000000000002</v>
      </c>
      <c r="D42">
        <v>2.8660000000000001</v>
      </c>
      <c r="E42">
        <v>2.6779999999999999</v>
      </c>
      <c r="F42">
        <v>6.559665038381024E-2</v>
      </c>
      <c r="G42">
        <v>2.2628315081145267E-2</v>
      </c>
    </row>
    <row r="43" spans="1:7" x14ac:dyDescent="0.3">
      <c r="A43">
        <v>44145</v>
      </c>
      <c r="B43">
        <v>3.1760000000000002</v>
      </c>
      <c r="C43">
        <v>2.629</v>
      </c>
      <c r="D43">
        <v>2.6779999999999999</v>
      </c>
      <c r="E43">
        <v>3.0739999999999998</v>
      </c>
      <c r="F43">
        <v>-0.14787154592979834</v>
      </c>
      <c r="G43">
        <v>-1.4422319721003607E-2</v>
      </c>
    </row>
    <row r="44" spans="1:7" x14ac:dyDescent="0.3">
      <c r="A44">
        <v>44146</v>
      </c>
      <c r="B44">
        <v>3.22</v>
      </c>
      <c r="C44">
        <v>2.8879999999999999</v>
      </c>
      <c r="D44">
        <v>3.0739999999999998</v>
      </c>
      <c r="E44">
        <v>2.9350000000000001</v>
      </c>
      <c r="F44">
        <v>4.5217957059206171E-2</v>
      </c>
      <c r="G44">
        <v>-2.8944683493767442E-2</v>
      </c>
    </row>
    <row r="45" spans="1:7" x14ac:dyDescent="0.3">
      <c r="A45">
        <v>44147</v>
      </c>
      <c r="B45">
        <v>3.137</v>
      </c>
      <c r="C45">
        <v>2.8439999999999999</v>
      </c>
      <c r="D45">
        <v>2.9350000000000001</v>
      </c>
      <c r="E45">
        <v>2.9609999999999999</v>
      </c>
      <c r="F45">
        <v>-8.8586030664394855E-3</v>
      </c>
      <c r="G45">
        <v>2.4358172921472576E-3</v>
      </c>
    </row>
    <row r="46" spans="1:7" x14ac:dyDescent="0.3">
      <c r="A46">
        <v>44148</v>
      </c>
      <c r="B46">
        <v>3.9969999999999999</v>
      </c>
      <c r="C46">
        <v>2.94</v>
      </c>
      <c r="D46">
        <v>2.9609999999999999</v>
      </c>
      <c r="E46">
        <v>3.8620000000000001</v>
      </c>
      <c r="F46">
        <v>-0.30428909152313421</v>
      </c>
      <c r="G46">
        <v>-3.0446432430096371E-2</v>
      </c>
    </row>
    <row r="47" spans="1:7" x14ac:dyDescent="0.3">
      <c r="A47">
        <v>44149</v>
      </c>
      <c r="B47">
        <v>3.972</v>
      </c>
      <c r="C47">
        <v>3.5129999999999999</v>
      </c>
      <c r="D47">
        <v>3.8620000000000001</v>
      </c>
      <c r="E47">
        <v>3.8109999999999999</v>
      </c>
      <c r="F47">
        <v>1.3205592957017176E-2</v>
      </c>
      <c r="G47">
        <v>3.3216599911925715E-2</v>
      </c>
    </row>
    <row r="48" spans="1:7" x14ac:dyDescent="0.3">
      <c r="A48">
        <v>44150</v>
      </c>
      <c r="B48">
        <v>4.2480000000000002</v>
      </c>
      <c r="C48">
        <v>3.62</v>
      </c>
      <c r="D48">
        <v>3.8109999999999999</v>
      </c>
      <c r="E48">
        <v>3.85</v>
      </c>
      <c r="F48">
        <v>-1.0233534505379227E-2</v>
      </c>
      <c r="G48">
        <v>2.7156584170227482E-2</v>
      </c>
    </row>
    <row r="49" spans="1:7" x14ac:dyDescent="0.3">
      <c r="A49">
        <v>44151</v>
      </c>
      <c r="B49">
        <v>3.9390000000000001</v>
      </c>
      <c r="C49">
        <v>3.45</v>
      </c>
      <c r="D49">
        <v>3.85</v>
      </c>
      <c r="E49">
        <v>3.5680000000000001</v>
      </c>
      <c r="F49">
        <v>7.3246753246753227E-2</v>
      </c>
      <c r="G49">
        <v>-2.7870058638603368E-2</v>
      </c>
    </row>
    <row r="50" spans="1:7" x14ac:dyDescent="0.3">
      <c r="A50">
        <v>44152</v>
      </c>
      <c r="B50">
        <v>3.8639999999999999</v>
      </c>
      <c r="C50">
        <v>3.4820000000000002</v>
      </c>
      <c r="D50">
        <v>3.5680000000000001</v>
      </c>
      <c r="E50">
        <v>3.8180000000000001</v>
      </c>
      <c r="F50">
        <v>-7.0067264573991039E-2</v>
      </c>
      <c r="G50">
        <v>-4.7070562460684195E-2</v>
      </c>
    </row>
    <row r="51" spans="1:7" x14ac:dyDescent="0.3">
      <c r="A51">
        <v>44153</v>
      </c>
      <c r="B51">
        <v>3.851</v>
      </c>
      <c r="C51">
        <v>3.2789999999999999</v>
      </c>
      <c r="D51">
        <v>3.8180000000000001</v>
      </c>
      <c r="E51">
        <v>3.4630000000000001</v>
      </c>
      <c r="F51">
        <v>9.298061812467262E-2</v>
      </c>
      <c r="G51">
        <v>8.1829669988191522E-3</v>
      </c>
    </row>
    <row r="52" spans="1:7" x14ac:dyDescent="0.3">
      <c r="A52">
        <v>44154</v>
      </c>
      <c r="B52">
        <v>3.911</v>
      </c>
      <c r="C52">
        <v>3.2320000000000002</v>
      </c>
      <c r="D52">
        <v>3.4630000000000001</v>
      </c>
      <c r="E52">
        <v>3.75</v>
      </c>
      <c r="F52">
        <v>-8.2876118971989543E-2</v>
      </c>
      <c r="G52">
        <v>1.4495780766981325E-2</v>
      </c>
    </row>
    <row r="53" spans="1:7" x14ac:dyDescent="0.3">
      <c r="A53">
        <v>44155</v>
      </c>
      <c r="B53">
        <v>4.0890000000000004</v>
      </c>
      <c r="C53">
        <v>3.681</v>
      </c>
      <c r="D53">
        <v>3.75</v>
      </c>
      <c r="E53">
        <v>3.8610000000000002</v>
      </c>
      <c r="F53">
        <v>-2.9600000000000071E-2</v>
      </c>
      <c r="G53">
        <v>-8.1832054597092085E-2</v>
      </c>
    </row>
    <row r="54" spans="1:7" x14ac:dyDescent="0.3">
      <c r="A54">
        <v>44156</v>
      </c>
      <c r="B54">
        <v>3.9390000000000001</v>
      </c>
      <c r="C54">
        <v>3.5910000000000002</v>
      </c>
      <c r="D54">
        <v>3.8610000000000002</v>
      </c>
      <c r="E54">
        <v>3.8340000000000001</v>
      </c>
      <c r="F54">
        <v>6.9930069930069783E-3</v>
      </c>
      <c r="G54">
        <v>-8.195051231314765E-2</v>
      </c>
    </row>
    <row r="55" spans="1:7" x14ac:dyDescent="0.3">
      <c r="A55">
        <v>44157</v>
      </c>
      <c r="B55">
        <v>3.9510000000000001</v>
      </c>
      <c r="C55">
        <v>3.4420000000000002</v>
      </c>
      <c r="D55">
        <v>3.8340000000000001</v>
      </c>
      <c r="E55">
        <v>3.6920000000000002</v>
      </c>
      <c r="F55">
        <v>3.7037037037036979E-2</v>
      </c>
      <c r="G55">
        <v>-1.4033245210589129E-2</v>
      </c>
    </row>
    <row r="56" spans="1:7" x14ac:dyDescent="0.3">
      <c r="A56">
        <v>44158</v>
      </c>
      <c r="B56">
        <v>4.2290000000000001</v>
      </c>
      <c r="C56">
        <v>3.6339999999999999</v>
      </c>
      <c r="D56">
        <v>3.6920000000000002</v>
      </c>
      <c r="E56">
        <v>4.1870000000000003</v>
      </c>
      <c r="F56">
        <v>-0.13407367280606719</v>
      </c>
      <c r="G56">
        <v>-8.7712719415724782E-2</v>
      </c>
    </row>
    <row r="57" spans="1:7" x14ac:dyDescent="0.3">
      <c r="A57">
        <v>44159</v>
      </c>
      <c r="B57">
        <v>4.484</v>
      </c>
      <c r="C57">
        <v>3.94</v>
      </c>
      <c r="D57">
        <v>4.1870000000000003</v>
      </c>
      <c r="E57">
        <v>4.0650000000000004</v>
      </c>
      <c r="F57">
        <v>2.9137807499402868E-2</v>
      </c>
      <c r="G57">
        <v>6.8129955838654999E-3</v>
      </c>
    </row>
    <row r="58" spans="1:7" x14ac:dyDescent="0.3">
      <c r="A58">
        <v>44160</v>
      </c>
      <c r="B58">
        <v>4.2039999999999997</v>
      </c>
      <c r="C58">
        <v>3.528</v>
      </c>
      <c r="D58">
        <v>4.0650000000000004</v>
      </c>
      <c r="E58">
        <v>3.6779999999999999</v>
      </c>
      <c r="F58">
        <v>9.5202952029520449E-2</v>
      </c>
      <c r="G58">
        <v>5.8811861549142197E-2</v>
      </c>
    </row>
    <row r="59" spans="1:7" x14ac:dyDescent="0.3">
      <c r="A59">
        <v>44161</v>
      </c>
      <c r="B59">
        <v>3.7679999999999998</v>
      </c>
      <c r="C59">
        <v>3.101</v>
      </c>
      <c r="D59">
        <v>3.6779999999999999</v>
      </c>
      <c r="E59">
        <v>3.4369999999999998</v>
      </c>
      <c r="F59">
        <v>6.5524741707449707E-2</v>
      </c>
      <c r="G59">
        <v>8.6371619248331477E-2</v>
      </c>
    </row>
    <row r="60" spans="1:7" x14ac:dyDescent="0.3">
      <c r="A60">
        <v>44162</v>
      </c>
      <c r="B60">
        <v>3.5350000000000001</v>
      </c>
      <c r="C60">
        <v>3.1619999999999999</v>
      </c>
      <c r="D60">
        <v>3.4369999999999998</v>
      </c>
      <c r="E60">
        <v>3.3109999999999999</v>
      </c>
      <c r="F60">
        <v>3.6659877800407248E-2</v>
      </c>
      <c r="G60">
        <v>2.671946484179788E-3</v>
      </c>
    </row>
    <row r="61" spans="1:7" x14ac:dyDescent="0.3">
      <c r="A61">
        <v>44163</v>
      </c>
      <c r="B61">
        <v>3.532</v>
      </c>
      <c r="C61">
        <v>3.2589999999999999</v>
      </c>
      <c r="D61">
        <v>3.3109999999999999</v>
      </c>
      <c r="E61">
        <v>3.464</v>
      </c>
      <c r="F61">
        <v>-4.6209604349139344E-2</v>
      </c>
      <c r="G61">
        <v>-3.6929244646608739E-2</v>
      </c>
    </row>
    <row r="62" spans="1:7" x14ac:dyDescent="0.3">
      <c r="A62">
        <v>44164</v>
      </c>
      <c r="B62">
        <v>3.5179999999999998</v>
      </c>
      <c r="C62">
        <v>3.3650000000000002</v>
      </c>
      <c r="D62">
        <v>3.464</v>
      </c>
      <c r="E62">
        <v>3.5110000000000001</v>
      </c>
      <c r="F62">
        <v>-1.3568129330254086E-2</v>
      </c>
      <c r="G62">
        <v>-5.0354095801037335E-2</v>
      </c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52DDA-E6D1-4557-AE2E-AE5D08929900}">
  <sheetPr codeName="Sheet10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44104</v>
      </c>
      <c r="B2">
        <v>24943.58</v>
      </c>
      <c r="C2">
        <v>22054.69</v>
      </c>
      <c r="D2">
        <v>25065.06</v>
      </c>
      <c r="E2">
        <v>23865.64</v>
      </c>
      <c r="F2"/>
      <c r="G2"/>
    </row>
    <row r="3" spans="1:7" x14ac:dyDescent="0.3">
      <c r="A3">
        <v>44105</v>
      </c>
      <c r="B3">
        <v>26152.03</v>
      </c>
      <c r="C3">
        <v>21610.53</v>
      </c>
      <c r="D3">
        <v>23858.51</v>
      </c>
      <c r="E3">
        <v>22859.5</v>
      </c>
      <c r="F3">
        <v>4.2158517433431464E-2</v>
      </c>
      <c r="G3">
        <v>1.8370296259240804E-2</v>
      </c>
    </row>
    <row r="4" spans="1:7" x14ac:dyDescent="0.3">
      <c r="A4">
        <v>44106</v>
      </c>
      <c r="B4">
        <v>23305.29</v>
      </c>
      <c r="C4">
        <v>19004.97</v>
      </c>
      <c r="D4">
        <v>22859.5</v>
      </c>
      <c r="E4">
        <v>21136.33</v>
      </c>
      <c r="F4">
        <v>7.5380913843259845E-2</v>
      </c>
      <c r="G4">
        <v>2.0894085671413598E-2</v>
      </c>
    </row>
    <row r="5" spans="1:7" x14ac:dyDescent="0.3">
      <c r="A5">
        <v>44107</v>
      </c>
      <c r="B5">
        <v>21781.84</v>
      </c>
      <c r="C5">
        <v>18508.3</v>
      </c>
      <c r="D5">
        <v>21136.33</v>
      </c>
      <c r="E5">
        <v>18893.87</v>
      </c>
      <c r="F5">
        <v>0.10609505055986557</v>
      </c>
      <c r="G5">
        <v>-1.4168811265651282E-3</v>
      </c>
    </row>
    <row r="6" spans="1:7" x14ac:dyDescent="0.3">
      <c r="A6">
        <v>44108</v>
      </c>
      <c r="B6">
        <v>20193.7</v>
      </c>
      <c r="C6">
        <v>16157.36</v>
      </c>
      <c r="D6">
        <v>18893.87</v>
      </c>
      <c r="E6">
        <v>19172.34</v>
      </c>
      <c r="F6">
        <v>-1.4738642744974939E-2</v>
      </c>
      <c r="G6">
        <v>-1.816239316239332E-2</v>
      </c>
    </row>
    <row r="7" spans="1:7" x14ac:dyDescent="0.3">
      <c r="A7">
        <v>44109</v>
      </c>
      <c r="B7">
        <v>20491.84</v>
      </c>
      <c r="C7">
        <v>17560.13</v>
      </c>
      <c r="D7">
        <v>19172.34</v>
      </c>
      <c r="E7">
        <v>19182.75</v>
      </c>
      <c r="F7">
        <v>-5.4296971574663289E-4</v>
      </c>
      <c r="G7">
        <v>-3.2613936076684169E-3</v>
      </c>
    </row>
    <row r="8" spans="1:7" x14ac:dyDescent="0.3">
      <c r="A8">
        <v>44110</v>
      </c>
      <c r="B8">
        <v>19368.240000000002</v>
      </c>
      <c r="C8">
        <v>16185.87</v>
      </c>
      <c r="D8">
        <v>19182.75</v>
      </c>
      <c r="E8">
        <v>16619.150000000001</v>
      </c>
      <c r="F8">
        <v>0.13364090133062245</v>
      </c>
      <c r="G8">
        <v>3.6493668023518722E-2</v>
      </c>
    </row>
    <row r="9" spans="1:7" x14ac:dyDescent="0.3">
      <c r="A9">
        <v>44111</v>
      </c>
      <c r="B9">
        <v>16691.52</v>
      </c>
      <c r="C9">
        <v>13704.49</v>
      </c>
      <c r="D9">
        <v>16619.150000000001</v>
      </c>
      <c r="E9">
        <v>14850.49</v>
      </c>
      <c r="F9">
        <v>0.1064230120072327</v>
      </c>
      <c r="G9">
        <v>-3.1098723778788528E-3</v>
      </c>
    </row>
    <row r="10" spans="1:7" x14ac:dyDescent="0.3">
      <c r="A10">
        <v>44112</v>
      </c>
      <c r="B10">
        <v>17318.78</v>
      </c>
      <c r="C10">
        <v>12255.13</v>
      </c>
      <c r="D10">
        <v>14850.49</v>
      </c>
      <c r="E10">
        <v>16715.55</v>
      </c>
      <c r="F10">
        <v>-0.12558912197509975</v>
      </c>
      <c r="G10">
        <v>-2.7170892925038714E-2</v>
      </c>
    </row>
    <row r="11" spans="1:7" x14ac:dyDescent="0.3">
      <c r="A11">
        <v>44113</v>
      </c>
      <c r="B11">
        <v>19474.580000000002</v>
      </c>
      <c r="C11">
        <v>15818.08</v>
      </c>
      <c r="D11">
        <v>16715.55</v>
      </c>
      <c r="E11">
        <v>18035.04</v>
      </c>
      <c r="F11">
        <v>-7.893787521200335E-2</v>
      </c>
      <c r="G11">
        <v>-4.0461275626423765E-2</v>
      </c>
    </row>
    <row r="12" spans="1:7" x14ac:dyDescent="0.3">
      <c r="A12">
        <v>44114</v>
      </c>
      <c r="B12">
        <v>19541.53</v>
      </c>
      <c r="C12">
        <v>15870.99</v>
      </c>
      <c r="D12">
        <v>18035.04</v>
      </c>
      <c r="E12">
        <v>16037.81</v>
      </c>
      <c r="F12">
        <v>0.11074164515299112</v>
      </c>
      <c r="G12">
        <v>-1.4969486330423276E-2</v>
      </c>
    </row>
    <row r="13" spans="1:7" x14ac:dyDescent="0.3">
      <c r="A13">
        <v>44115</v>
      </c>
      <c r="B13">
        <v>17706.71</v>
      </c>
      <c r="C13">
        <v>15050.73</v>
      </c>
      <c r="D13">
        <v>16037.81</v>
      </c>
      <c r="E13">
        <v>16893.07</v>
      </c>
      <c r="F13">
        <v>-5.3327729908260624E-2</v>
      </c>
      <c r="G13">
        <v>-9.4100517687663032E-3</v>
      </c>
    </row>
    <row r="14" spans="1:7" x14ac:dyDescent="0.3">
      <c r="A14">
        <v>44116</v>
      </c>
      <c r="B14">
        <v>17486.59</v>
      </c>
      <c r="C14">
        <v>15702.17</v>
      </c>
      <c r="D14">
        <v>16893.07</v>
      </c>
      <c r="E14">
        <v>16514.419999999998</v>
      </c>
      <c r="F14">
        <v>2.2414516721945832E-2</v>
      </c>
      <c r="G14">
        <v>-3.3496273739882954E-2</v>
      </c>
    </row>
    <row r="15" spans="1:7" x14ac:dyDescent="0.3">
      <c r="A15">
        <v>44117</v>
      </c>
      <c r="B15">
        <v>16693.330000000002</v>
      </c>
      <c r="C15">
        <v>15333.87</v>
      </c>
      <c r="D15">
        <v>16514.419999999998</v>
      </c>
      <c r="E15">
        <v>15704.54</v>
      </c>
      <c r="F15">
        <v>4.9040777696098159E-2</v>
      </c>
      <c r="G15">
        <v>1.421519216355227E-2</v>
      </c>
    </row>
    <row r="16" spans="1:7" x14ac:dyDescent="0.3">
      <c r="A16">
        <v>44118</v>
      </c>
      <c r="B16">
        <v>16119.6</v>
      </c>
      <c r="C16">
        <v>13709.14</v>
      </c>
      <c r="D16">
        <v>15704.54</v>
      </c>
      <c r="E16">
        <v>14586.39</v>
      </c>
      <c r="F16">
        <v>7.1199156422283028E-2</v>
      </c>
      <c r="G16">
        <v>6.0302561547941336E-3</v>
      </c>
    </row>
    <row r="17" spans="1:7" x14ac:dyDescent="0.3">
      <c r="A17">
        <v>44119</v>
      </c>
      <c r="B17">
        <v>15792.49</v>
      </c>
      <c r="C17">
        <v>13959.96</v>
      </c>
      <c r="D17">
        <v>14586.39</v>
      </c>
      <c r="E17">
        <v>14581.81</v>
      </c>
      <c r="F17">
        <v>3.1399133027432136E-4</v>
      </c>
      <c r="G17">
        <v>3.7192371607185359E-3</v>
      </c>
    </row>
    <row r="18" spans="1:7" x14ac:dyDescent="0.3">
      <c r="A18">
        <v>44120</v>
      </c>
      <c r="B18">
        <v>14623.49</v>
      </c>
      <c r="C18">
        <v>13401.47</v>
      </c>
      <c r="D18">
        <v>14581.81</v>
      </c>
      <c r="E18">
        <v>13414.99</v>
      </c>
      <c r="F18">
        <v>8.0018872828544585E-2</v>
      </c>
      <c r="G18">
        <v>3.2088959491660018E-2</v>
      </c>
    </row>
    <row r="19" spans="1:7" x14ac:dyDescent="0.3">
      <c r="A19">
        <v>44121</v>
      </c>
      <c r="B19">
        <v>14141.1</v>
      </c>
      <c r="C19">
        <v>13139.7</v>
      </c>
      <c r="D19">
        <v>13414.99</v>
      </c>
      <c r="E19">
        <v>14022.34</v>
      </c>
      <c r="F19">
        <v>-4.5273980822945203E-2</v>
      </c>
      <c r="G19">
        <v>-8.3976147491657827E-3</v>
      </c>
    </row>
    <row r="20" spans="1:7" x14ac:dyDescent="0.3">
      <c r="A20">
        <v>44122</v>
      </c>
      <c r="B20">
        <v>15789.61</v>
      </c>
      <c r="C20">
        <v>13934.46</v>
      </c>
      <c r="D20">
        <v>14022.34</v>
      </c>
      <c r="E20">
        <v>15420.55</v>
      </c>
      <c r="F20">
        <v>-9.9713029351734317E-2</v>
      </c>
      <c r="G20">
        <v>-2.6556354265563575E-2</v>
      </c>
    </row>
    <row r="21" spans="1:7" x14ac:dyDescent="0.3">
      <c r="A21">
        <v>44123</v>
      </c>
      <c r="B21">
        <v>15678.22</v>
      </c>
      <c r="C21">
        <v>13756.75</v>
      </c>
      <c r="D21">
        <v>15420.55</v>
      </c>
      <c r="E21">
        <v>13775.57</v>
      </c>
      <c r="F21">
        <v>0.10667453495497892</v>
      </c>
      <c r="G21">
        <v>-2.5631540006343378E-3</v>
      </c>
    </row>
    <row r="22" spans="1:7" x14ac:dyDescent="0.3">
      <c r="A22">
        <v>44124</v>
      </c>
      <c r="B22">
        <v>14098.67</v>
      </c>
      <c r="C22">
        <v>12735.08</v>
      </c>
      <c r="D22">
        <v>13775.57</v>
      </c>
      <c r="E22">
        <v>13066.48</v>
      </c>
      <c r="F22">
        <v>5.1474458044204363E-2</v>
      </c>
      <c r="G22">
        <v>2.8122611422998878E-2</v>
      </c>
    </row>
    <row r="23" spans="1:7" x14ac:dyDescent="0.3">
      <c r="A23">
        <v>44125</v>
      </c>
      <c r="B23">
        <v>14661.79</v>
      </c>
      <c r="C23">
        <v>12901.45</v>
      </c>
      <c r="D23">
        <v>13066.48</v>
      </c>
      <c r="E23">
        <v>13317.77</v>
      </c>
      <c r="F23">
        <v>-1.9231652288910217E-2</v>
      </c>
      <c r="G23">
        <v>-6.1615230243531993E-2</v>
      </c>
    </row>
    <row r="24" spans="1:7" x14ac:dyDescent="0.3">
      <c r="A24">
        <v>44126</v>
      </c>
      <c r="B24">
        <v>14382.3</v>
      </c>
      <c r="C24">
        <v>13160.83</v>
      </c>
      <c r="D24">
        <v>13317.77</v>
      </c>
      <c r="E24">
        <v>13722.89</v>
      </c>
      <c r="F24">
        <v>-3.0419507169743731E-2</v>
      </c>
      <c r="G24">
        <v>-5.8856588157155221E-2</v>
      </c>
    </row>
    <row r="25" spans="1:7" x14ac:dyDescent="0.3">
      <c r="A25">
        <v>44127</v>
      </c>
      <c r="B25">
        <v>14954.77</v>
      </c>
      <c r="C25">
        <v>13622.34</v>
      </c>
      <c r="D25">
        <v>13722.89</v>
      </c>
      <c r="E25">
        <v>14911.69</v>
      </c>
      <c r="F25">
        <v>-8.6628982670559962E-2</v>
      </c>
      <c r="G25">
        <v>1.189384800965021E-2</v>
      </c>
    </row>
    <row r="26" spans="1:7" x14ac:dyDescent="0.3">
      <c r="A26">
        <v>44128</v>
      </c>
      <c r="B26">
        <v>15493.11</v>
      </c>
      <c r="C26">
        <v>14523.11</v>
      </c>
      <c r="D26">
        <v>14911.69</v>
      </c>
      <c r="E26">
        <v>14892.93</v>
      </c>
      <c r="F26">
        <v>1.258073363917811E-3</v>
      </c>
      <c r="G26">
        <v>-7.275923529555417E-3</v>
      </c>
    </row>
    <row r="27" spans="1:7" x14ac:dyDescent="0.3">
      <c r="A27">
        <v>44129</v>
      </c>
      <c r="B27">
        <v>14906.1</v>
      </c>
      <c r="C27">
        <v>14201.88</v>
      </c>
      <c r="D27">
        <v>14990.04</v>
      </c>
      <c r="E27">
        <v>14306.21</v>
      </c>
      <c r="F27">
        <v>3.9395874418264309E-2</v>
      </c>
      <c r="G27">
        <v>1.5004241910071547E-2</v>
      </c>
    </row>
    <row r="28" spans="1:7" x14ac:dyDescent="0.3">
      <c r="A28">
        <v>44130</v>
      </c>
      <c r="B28">
        <v>14575.08</v>
      </c>
      <c r="C28">
        <v>13206.03</v>
      </c>
      <c r="D28">
        <v>14313.33</v>
      </c>
      <c r="E28">
        <v>13620.09</v>
      </c>
      <c r="F28">
        <v>4.7959592372822657E-2</v>
      </c>
      <c r="G28">
        <v>3.2606555763362577E-2</v>
      </c>
    </row>
    <row r="29" spans="1:7" x14ac:dyDescent="0.3">
      <c r="A29">
        <v>44131</v>
      </c>
      <c r="B29">
        <v>14198.63</v>
      </c>
      <c r="C29">
        <v>13359.57</v>
      </c>
      <c r="D29">
        <v>13620.09</v>
      </c>
      <c r="E29">
        <v>13404.85</v>
      </c>
      <c r="F29">
        <v>1.580312611737511E-2</v>
      </c>
      <c r="G29">
        <v>-2.7040777390552329E-2</v>
      </c>
    </row>
    <row r="30" spans="1:7" x14ac:dyDescent="0.3">
      <c r="A30">
        <v>44132</v>
      </c>
      <c r="B30">
        <v>13597.39</v>
      </c>
      <c r="C30">
        <v>12075.63</v>
      </c>
      <c r="D30">
        <v>13404.85</v>
      </c>
      <c r="E30">
        <v>12565.87</v>
      </c>
      <c r="F30">
        <v>6.2587794716091549E-2</v>
      </c>
      <c r="G30">
        <v>3.7078317729231758E-2</v>
      </c>
    </row>
    <row r="31" spans="1:7" x14ac:dyDescent="0.3">
      <c r="A31">
        <v>44133</v>
      </c>
      <c r="B31">
        <v>12931.79</v>
      </c>
      <c r="C31">
        <v>10532.91</v>
      </c>
      <c r="D31">
        <v>12565.87</v>
      </c>
      <c r="E31">
        <v>10810.27</v>
      </c>
      <c r="F31">
        <v>0.13971177483134878</v>
      </c>
      <c r="G31">
        <v>3.163824369164181E-3</v>
      </c>
    </row>
    <row r="32" spans="1:7" x14ac:dyDescent="0.3">
      <c r="A32">
        <v>44134</v>
      </c>
      <c r="B32">
        <v>11968.8</v>
      </c>
      <c r="C32">
        <v>9644.83</v>
      </c>
      <c r="D32">
        <v>10810.27</v>
      </c>
      <c r="E32">
        <v>11019.63</v>
      </c>
      <c r="F32">
        <v>-1.9366768822610236E-2</v>
      </c>
      <c r="G32">
        <v>1.2334210662125256E-2</v>
      </c>
    </row>
    <row r="33" spans="1:7" x14ac:dyDescent="0.3">
      <c r="A33">
        <v>44135</v>
      </c>
      <c r="B33">
        <v>11432.03</v>
      </c>
      <c r="C33">
        <v>10280.379999999999</v>
      </c>
      <c r="D33">
        <v>11019.63</v>
      </c>
      <c r="E33">
        <v>10495.4</v>
      </c>
      <c r="F33">
        <v>4.7572377656962983E-2</v>
      </c>
      <c r="G33">
        <v>-1.0476538823283477E-2</v>
      </c>
    </row>
    <row r="34" spans="1:7" x14ac:dyDescent="0.3">
      <c r="A34">
        <v>44136</v>
      </c>
      <c r="B34">
        <v>11046.28</v>
      </c>
      <c r="C34">
        <v>9977.3700000000008</v>
      </c>
      <c r="D34">
        <v>10495.4</v>
      </c>
      <c r="E34">
        <v>10700.08</v>
      </c>
      <c r="F34">
        <v>-1.9501877012786606E-2</v>
      </c>
      <c r="G34">
        <v>-2.5803449078263707E-2</v>
      </c>
    </row>
    <row r="35" spans="1:7" x14ac:dyDescent="0.3">
      <c r="A35">
        <v>44137</v>
      </c>
      <c r="B35">
        <v>11239.16</v>
      </c>
      <c r="C35">
        <v>10034.799999999999</v>
      </c>
      <c r="D35">
        <v>10700.08</v>
      </c>
      <c r="E35">
        <v>10111.709999999999</v>
      </c>
      <c r="F35">
        <v>5.4987439346247946E-2</v>
      </c>
      <c r="G35">
        <v>3.3119092627599156E-2</v>
      </c>
    </row>
    <row r="36" spans="1:7" x14ac:dyDescent="0.3">
      <c r="A36">
        <v>44138</v>
      </c>
      <c r="B36">
        <v>10243.4</v>
      </c>
      <c r="C36">
        <v>9310.81</v>
      </c>
      <c r="D36">
        <v>10111.709999999999</v>
      </c>
      <c r="E36">
        <v>9375.14</v>
      </c>
      <c r="F36">
        <v>7.2843267854794114E-2</v>
      </c>
      <c r="G36">
        <v>-1.191314095044449E-2</v>
      </c>
    </row>
    <row r="37" spans="1:7" x14ac:dyDescent="0.3">
      <c r="A37">
        <v>44139</v>
      </c>
      <c r="B37">
        <v>9684.49</v>
      </c>
      <c r="C37">
        <v>8241.6</v>
      </c>
      <c r="D37">
        <v>9375.14</v>
      </c>
      <c r="E37">
        <v>8488</v>
      </c>
      <c r="F37">
        <v>9.4626853572319924E-2</v>
      </c>
      <c r="G37">
        <v>-3.730228244628786E-2</v>
      </c>
    </row>
    <row r="38" spans="1:7" x14ac:dyDescent="0.3">
      <c r="A38">
        <v>44140</v>
      </c>
      <c r="B38">
        <v>9920.26</v>
      </c>
      <c r="C38">
        <v>7465.52</v>
      </c>
      <c r="D38">
        <v>8488</v>
      </c>
      <c r="E38">
        <v>8501.69</v>
      </c>
      <c r="F38">
        <v>-1.6128652214892902E-3</v>
      </c>
      <c r="G38">
        <v>-3.5339989072666667E-2</v>
      </c>
    </row>
    <row r="39" spans="1:7" x14ac:dyDescent="0.3">
      <c r="A39">
        <v>44141</v>
      </c>
      <c r="B39">
        <v>11959.29</v>
      </c>
      <c r="C39">
        <v>8414.81</v>
      </c>
      <c r="D39">
        <v>8501.69</v>
      </c>
      <c r="E39">
        <v>11834.76</v>
      </c>
      <c r="F39">
        <v>-0.39204793399900484</v>
      </c>
      <c r="G39">
        <v>-9.4581304420830348E-2</v>
      </c>
    </row>
    <row r="40" spans="1:7" x14ac:dyDescent="0.3">
      <c r="A40">
        <v>44142</v>
      </c>
      <c r="B40">
        <v>17544.75</v>
      </c>
      <c r="C40">
        <v>11828.1</v>
      </c>
      <c r="D40">
        <v>11834.76</v>
      </c>
      <c r="E40">
        <v>14299.07</v>
      </c>
      <c r="F40">
        <v>-0.20822644481172414</v>
      </c>
      <c r="G40">
        <v>4.4924614305750343E-2</v>
      </c>
    </row>
    <row r="41" spans="1:7" x14ac:dyDescent="0.3">
      <c r="A41">
        <v>44143</v>
      </c>
      <c r="B41">
        <v>15984.84</v>
      </c>
      <c r="C41">
        <v>13402.78</v>
      </c>
      <c r="D41">
        <v>14299.07</v>
      </c>
      <c r="E41">
        <v>15136.24</v>
      </c>
      <c r="F41">
        <v>-5.8547164256137041E-2</v>
      </c>
      <c r="G41">
        <v>-4.3412417970721817E-2</v>
      </c>
    </row>
    <row r="42" spans="1:7" x14ac:dyDescent="0.3">
      <c r="A42">
        <v>44144</v>
      </c>
      <c r="B42">
        <v>15597.56</v>
      </c>
      <c r="C42">
        <v>13954.75</v>
      </c>
      <c r="D42">
        <v>15136.24</v>
      </c>
      <c r="E42">
        <v>14978.46</v>
      </c>
      <c r="F42">
        <v>1.0423989048799487E-2</v>
      </c>
      <c r="G42">
        <v>2.2628315081145267E-2</v>
      </c>
    </row>
    <row r="43" spans="1:7" x14ac:dyDescent="0.3">
      <c r="A43">
        <v>44145</v>
      </c>
      <c r="B43">
        <v>18900.37</v>
      </c>
      <c r="C43">
        <v>14686.94</v>
      </c>
      <c r="D43">
        <v>14978.46</v>
      </c>
      <c r="E43">
        <v>18278.8</v>
      </c>
      <c r="F43">
        <v>-0.22033907357632221</v>
      </c>
      <c r="G43">
        <v>-1.4422319721003607E-2</v>
      </c>
    </row>
    <row r="44" spans="1:7" x14ac:dyDescent="0.3">
      <c r="A44">
        <v>44146</v>
      </c>
      <c r="B44">
        <v>19294.849999999999</v>
      </c>
      <c r="C44">
        <v>15747.43</v>
      </c>
      <c r="D44">
        <v>18278.8</v>
      </c>
      <c r="E44">
        <v>16678.14</v>
      </c>
      <c r="F44">
        <v>8.7569205855964283E-2</v>
      </c>
      <c r="G44">
        <v>-2.8944683493767442E-2</v>
      </c>
    </row>
    <row r="45" spans="1:7" x14ac:dyDescent="0.3">
      <c r="A45">
        <v>44147</v>
      </c>
      <c r="B45">
        <v>17287.43</v>
      </c>
      <c r="C45">
        <v>14946.62</v>
      </c>
      <c r="D45">
        <v>16678.14</v>
      </c>
      <c r="E45">
        <v>15463.89</v>
      </c>
      <c r="F45">
        <v>7.2804881119837073E-2</v>
      </c>
      <c r="G45">
        <v>2.4358172921472576E-3</v>
      </c>
    </row>
    <row r="46" spans="1:7" x14ac:dyDescent="0.3">
      <c r="A46">
        <v>44148</v>
      </c>
      <c r="B46">
        <v>18469.759999999998</v>
      </c>
      <c r="C46">
        <v>15172.03</v>
      </c>
      <c r="D46">
        <v>15463.89</v>
      </c>
      <c r="E46">
        <v>17915.18</v>
      </c>
      <c r="F46">
        <v>-0.15851703549365648</v>
      </c>
      <c r="G46">
        <v>-3.0446432430096371E-2</v>
      </c>
    </row>
    <row r="47" spans="1:7" x14ac:dyDescent="0.3">
      <c r="A47">
        <v>44149</v>
      </c>
      <c r="B47">
        <v>17922.740000000002</v>
      </c>
      <c r="C47">
        <v>16131.06</v>
      </c>
      <c r="D47">
        <v>17915.18</v>
      </c>
      <c r="E47">
        <v>17193.939999999999</v>
      </c>
      <c r="F47">
        <v>4.0258596341203434E-2</v>
      </c>
      <c r="G47">
        <v>3.3216599911925715E-2</v>
      </c>
    </row>
    <row r="48" spans="1:7" x14ac:dyDescent="0.3">
      <c r="A48">
        <v>44150</v>
      </c>
      <c r="B48">
        <v>18431.86</v>
      </c>
      <c r="C48">
        <v>16567.52</v>
      </c>
      <c r="D48">
        <v>17193.939999999999</v>
      </c>
      <c r="E48">
        <v>17619.22</v>
      </c>
      <c r="F48">
        <v>-2.4734295920539662E-2</v>
      </c>
      <c r="G48">
        <v>2.7156584170227482E-2</v>
      </c>
    </row>
    <row r="49" spans="1:7" x14ac:dyDescent="0.3">
      <c r="A49">
        <v>44151</v>
      </c>
      <c r="B49">
        <v>19145.63</v>
      </c>
      <c r="C49">
        <v>17026.14</v>
      </c>
      <c r="D49">
        <v>17619.22</v>
      </c>
      <c r="E49">
        <v>18588.41</v>
      </c>
      <c r="F49">
        <v>-5.5007542899174755E-2</v>
      </c>
      <c r="G49">
        <v>-2.7870058638603368E-2</v>
      </c>
    </row>
    <row r="50" spans="1:7" x14ac:dyDescent="0.3">
      <c r="A50">
        <v>44152</v>
      </c>
      <c r="B50">
        <v>24914.12</v>
      </c>
      <c r="C50">
        <v>18470.849999999999</v>
      </c>
      <c r="D50">
        <v>18588.41</v>
      </c>
      <c r="E50">
        <v>23956.19</v>
      </c>
      <c r="F50">
        <v>-0.28877026060862643</v>
      </c>
      <c r="G50">
        <v>-4.7070562460684195E-2</v>
      </c>
    </row>
    <row r="51" spans="1:7" x14ac:dyDescent="0.3">
      <c r="A51">
        <v>44153</v>
      </c>
      <c r="B51">
        <v>26193.66</v>
      </c>
      <c r="C51">
        <v>20666.560000000001</v>
      </c>
      <c r="D51">
        <v>23956.19</v>
      </c>
      <c r="E51">
        <v>25454.94</v>
      </c>
      <c r="F51">
        <v>-6.2562118600662187E-2</v>
      </c>
      <c r="G51">
        <v>8.1829669988191522E-3</v>
      </c>
    </row>
    <row r="52" spans="1:7" x14ac:dyDescent="0.3">
      <c r="A52">
        <v>44154</v>
      </c>
      <c r="B52">
        <v>29696.240000000002</v>
      </c>
      <c r="C52">
        <v>24267.52</v>
      </c>
      <c r="D52">
        <v>25454.94</v>
      </c>
      <c r="E52">
        <v>27810.11</v>
      </c>
      <c r="F52">
        <v>-9.2523101606210911E-2</v>
      </c>
      <c r="G52">
        <v>1.4495780766981325E-2</v>
      </c>
    </row>
    <row r="53" spans="1:7" x14ac:dyDescent="0.3">
      <c r="A53">
        <v>44155</v>
      </c>
      <c r="B53">
        <v>29890.51</v>
      </c>
      <c r="C53">
        <v>25697.87</v>
      </c>
      <c r="D53">
        <v>27810.11</v>
      </c>
      <c r="E53">
        <v>26509.55</v>
      </c>
      <c r="F53">
        <v>4.6765726564907517E-2</v>
      </c>
      <c r="G53">
        <v>-8.1832054597092085E-2</v>
      </c>
    </row>
    <row r="54" spans="1:7" x14ac:dyDescent="0.3">
      <c r="A54">
        <v>44156</v>
      </c>
      <c r="B54">
        <v>27821.439999999999</v>
      </c>
      <c r="C54">
        <v>23420.799999999999</v>
      </c>
      <c r="D54">
        <v>26509.55</v>
      </c>
      <c r="E54">
        <v>24480.9</v>
      </c>
      <c r="F54">
        <v>7.6525252220426165E-2</v>
      </c>
      <c r="G54">
        <v>-8.195051231314765E-2</v>
      </c>
    </row>
    <row r="55" spans="1:7" x14ac:dyDescent="0.3">
      <c r="A55">
        <v>44157</v>
      </c>
      <c r="B55">
        <v>27222.93</v>
      </c>
      <c r="C55">
        <v>21474.26</v>
      </c>
      <c r="D55">
        <v>24480.9</v>
      </c>
      <c r="E55">
        <v>24432.51</v>
      </c>
      <c r="F55">
        <v>1.976643015575541E-3</v>
      </c>
      <c r="G55">
        <v>-1.4033245210589129E-2</v>
      </c>
    </row>
    <row r="56" spans="1:7" x14ac:dyDescent="0.3">
      <c r="A56">
        <v>44158</v>
      </c>
      <c r="B56">
        <v>26354.61</v>
      </c>
      <c r="C56">
        <v>23278.78</v>
      </c>
      <c r="D56">
        <v>24432.51</v>
      </c>
      <c r="E56">
        <v>25239.49</v>
      </c>
      <c r="F56">
        <v>-3.3028943812977163E-2</v>
      </c>
      <c r="G56">
        <v>-8.7712719415724782E-2</v>
      </c>
    </row>
    <row r="57" spans="1:7" x14ac:dyDescent="0.3">
      <c r="A57">
        <v>44159</v>
      </c>
      <c r="B57">
        <v>26392.39</v>
      </c>
      <c r="C57">
        <v>23360.54</v>
      </c>
      <c r="D57">
        <v>25239.49</v>
      </c>
      <c r="E57">
        <v>24710.86</v>
      </c>
      <c r="F57">
        <v>2.0944559497834581E-2</v>
      </c>
      <c r="G57">
        <v>6.8129955838654999E-3</v>
      </c>
    </row>
    <row r="58" spans="1:7" x14ac:dyDescent="0.3">
      <c r="A58">
        <v>44160</v>
      </c>
      <c r="B58">
        <v>24827.52</v>
      </c>
      <c r="C58">
        <v>21522.99</v>
      </c>
      <c r="D58">
        <v>24710.86</v>
      </c>
      <c r="E58">
        <v>22342.01</v>
      </c>
      <c r="F58">
        <v>9.5862709755953568E-2</v>
      </c>
      <c r="G58">
        <v>5.8811861549142197E-2</v>
      </c>
    </row>
    <row r="59" spans="1:7" x14ac:dyDescent="0.3">
      <c r="A59">
        <v>44161</v>
      </c>
      <c r="B59">
        <v>23366.25</v>
      </c>
      <c r="C59">
        <v>18221.03</v>
      </c>
      <c r="D59">
        <v>22342.01</v>
      </c>
      <c r="E59">
        <v>23359.35</v>
      </c>
      <c r="F59">
        <v>-4.5534846685683084E-2</v>
      </c>
      <c r="G59">
        <v>8.6371619248331477E-2</v>
      </c>
    </row>
    <row r="60" spans="1:7" x14ac:dyDescent="0.3">
      <c r="A60">
        <v>44162</v>
      </c>
      <c r="B60">
        <v>25580.74</v>
      </c>
      <c r="C60">
        <v>22255.17</v>
      </c>
      <c r="D60">
        <v>23359.35</v>
      </c>
      <c r="E60">
        <v>23479.37</v>
      </c>
      <c r="F60">
        <v>-5.1379854319577589E-3</v>
      </c>
      <c r="G60">
        <v>2.671946484179788E-3</v>
      </c>
    </row>
    <row r="61" spans="1:7" x14ac:dyDescent="0.3">
      <c r="A61">
        <v>44163</v>
      </c>
      <c r="B61">
        <v>24457.07</v>
      </c>
      <c r="C61">
        <v>22564.59</v>
      </c>
      <c r="D61">
        <v>23479.37</v>
      </c>
      <c r="E61">
        <v>23401</v>
      </c>
      <c r="F61">
        <v>3.3378238002126359E-3</v>
      </c>
      <c r="G61">
        <v>-3.6929244646608739E-2</v>
      </c>
    </row>
    <row r="62" spans="1:7" x14ac:dyDescent="0.3">
      <c r="A62">
        <v>44164</v>
      </c>
      <c r="B62">
        <v>25355.14</v>
      </c>
      <c r="C62">
        <v>24292.79</v>
      </c>
      <c r="D62">
        <v>24564.03</v>
      </c>
      <c r="E62">
        <v>24360.6</v>
      </c>
      <c r="F62">
        <v>-4.1006794581428085E-2</v>
      </c>
      <c r="G62">
        <v>-5.0354095801037335E-2</v>
      </c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17C27-E37A-4727-B106-04FB5E97E7A9}">
  <sheetPr codeName="Sheet11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44104</v>
      </c>
      <c r="B2">
        <v>136.19999999999999</v>
      </c>
      <c r="C2">
        <v>130.1</v>
      </c>
      <c r="D2">
        <v>132.80000000000001</v>
      </c>
      <c r="E2">
        <v>133.41999999999999</v>
      </c>
      <c r="F2"/>
      <c r="G2"/>
    </row>
    <row r="3" spans="1:7" x14ac:dyDescent="0.3">
      <c r="A3">
        <v>44105</v>
      </c>
      <c r="B3">
        <v>139.97</v>
      </c>
      <c r="C3">
        <v>125.28</v>
      </c>
      <c r="D3">
        <v>133.41999999999999</v>
      </c>
      <c r="E3">
        <v>129.31</v>
      </c>
      <c r="F3">
        <v>3.0804976765102521E-2</v>
      </c>
      <c r="G3">
        <v>1.8370296259240804E-2</v>
      </c>
    </row>
    <row r="4" spans="1:7" x14ac:dyDescent="0.3">
      <c r="A4">
        <v>44106</v>
      </c>
      <c r="B4">
        <v>130.77000000000001</v>
      </c>
      <c r="C4">
        <v>116.66</v>
      </c>
      <c r="D4">
        <v>129.31</v>
      </c>
      <c r="E4">
        <v>120.32</v>
      </c>
      <c r="F4">
        <v>6.9522852060938889E-2</v>
      </c>
      <c r="G4">
        <v>2.0894085671413598E-2</v>
      </c>
    </row>
    <row r="5" spans="1:7" x14ac:dyDescent="0.3">
      <c r="A5">
        <v>44107</v>
      </c>
      <c r="B5">
        <v>125.48</v>
      </c>
      <c r="C5">
        <v>120.04</v>
      </c>
      <c r="D5">
        <v>120.32</v>
      </c>
      <c r="E5">
        <v>121.57</v>
      </c>
      <c r="F5">
        <v>-1.0388962765957466E-2</v>
      </c>
      <c r="G5">
        <v>-1.4168811265651282E-3</v>
      </c>
    </row>
    <row r="6" spans="1:7" x14ac:dyDescent="0.3">
      <c r="A6">
        <v>44108</v>
      </c>
      <c r="B6">
        <v>122.71</v>
      </c>
      <c r="C6">
        <v>117.11</v>
      </c>
      <c r="D6">
        <v>121.57</v>
      </c>
      <c r="E6">
        <v>119.6</v>
      </c>
      <c r="F6">
        <v>1.6204655753886632E-2</v>
      </c>
      <c r="G6">
        <v>-1.816239316239332E-2</v>
      </c>
    </row>
    <row r="7" spans="1:7" x14ac:dyDescent="0.3">
      <c r="A7">
        <v>44109</v>
      </c>
      <c r="B7">
        <v>124.56</v>
      </c>
      <c r="C7">
        <v>117.61</v>
      </c>
      <c r="D7">
        <v>119.6</v>
      </c>
      <c r="E7">
        <v>122.05</v>
      </c>
      <c r="F7">
        <v>-2.0484949832775934E-2</v>
      </c>
      <c r="G7">
        <v>-3.2613936076684169E-3</v>
      </c>
    </row>
    <row r="8" spans="1:7" x14ac:dyDescent="0.3">
      <c r="A8">
        <v>44110</v>
      </c>
      <c r="B8">
        <v>122.99</v>
      </c>
      <c r="C8">
        <v>101.37</v>
      </c>
      <c r="D8">
        <v>122.05</v>
      </c>
      <c r="E8">
        <v>105.55</v>
      </c>
      <c r="F8">
        <v>0.13519049569848418</v>
      </c>
      <c r="G8">
        <v>3.6493668023518722E-2</v>
      </c>
    </row>
    <row r="9" spans="1:7" x14ac:dyDescent="0.3">
      <c r="A9">
        <v>44111</v>
      </c>
      <c r="B9">
        <v>111.85</v>
      </c>
      <c r="C9">
        <v>101.3</v>
      </c>
      <c r="D9">
        <v>105.55</v>
      </c>
      <c r="E9">
        <v>110.48</v>
      </c>
      <c r="F9">
        <v>-4.6707721459024132E-2</v>
      </c>
      <c r="G9">
        <v>-3.1098723778788528E-3</v>
      </c>
    </row>
    <row r="10" spans="1:7" x14ac:dyDescent="0.3">
      <c r="A10">
        <v>44112</v>
      </c>
      <c r="B10">
        <v>114.03</v>
      </c>
      <c r="C10">
        <v>102.43</v>
      </c>
      <c r="D10">
        <v>110.48</v>
      </c>
      <c r="E10">
        <v>108.07</v>
      </c>
      <c r="F10">
        <v>2.1813902968863208E-2</v>
      </c>
      <c r="G10">
        <v>-2.7170892925038714E-2</v>
      </c>
    </row>
    <row r="11" spans="1:7" x14ac:dyDescent="0.3">
      <c r="A11">
        <v>44113</v>
      </c>
      <c r="B11">
        <v>117.71</v>
      </c>
      <c r="C11">
        <v>103.6</v>
      </c>
      <c r="D11">
        <v>108.07</v>
      </c>
      <c r="E11">
        <v>115.6</v>
      </c>
      <c r="F11">
        <v>-6.967706116406025E-2</v>
      </c>
      <c r="G11">
        <v>-4.0461275626423765E-2</v>
      </c>
    </row>
    <row r="12" spans="1:7" x14ac:dyDescent="0.3">
      <c r="A12">
        <v>44114</v>
      </c>
      <c r="B12">
        <v>119.57</v>
      </c>
      <c r="C12">
        <v>113</v>
      </c>
      <c r="D12">
        <v>115.6</v>
      </c>
      <c r="E12">
        <v>113.93</v>
      </c>
      <c r="F12">
        <v>1.4446366782006836E-2</v>
      </c>
      <c r="G12">
        <v>-1.4969486330423276E-2</v>
      </c>
    </row>
    <row r="13" spans="1:7" x14ac:dyDescent="0.3">
      <c r="A13">
        <v>44115</v>
      </c>
      <c r="B13">
        <v>117</v>
      </c>
      <c r="C13">
        <v>111.4</v>
      </c>
      <c r="D13">
        <v>113.93</v>
      </c>
      <c r="E13">
        <v>115.74</v>
      </c>
      <c r="F13">
        <v>-1.5886948126042189E-2</v>
      </c>
      <c r="G13">
        <v>-9.4100517687663032E-3</v>
      </c>
    </row>
    <row r="14" spans="1:7" x14ac:dyDescent="0.3">
      <c r="A14">
        <v>44116</v>
      </c>
      <c r="B14">
        <v>120.7</v>
      </c>
      <c r="C14">
        <v>112.42</v>
      </c>
      <c r="D14">
        <v>115.74</v>
      </c>
      <c r="E14">
        <v>116.83</v>
      </c>
      <c r="F14">
        <v>-9.4176602730258185E-3</v>
      </c>
      <c r="G14">
        <v>-3.3496273739882954E-2</v>
      </c>
    </row>
    <row r="15" spans="1:7" x14ac:dyDescent="0.3">
      <c r="A15">
        <v>44117</v>
      </c>
      <c r="B15">
        <v>119.03</v>
      </c>
      <c r="C15">
        <v>111.8</v>
      </c>
      <c r="D15">
        <v>116.83</v>
      </c>
      <c r="E15">
        <v>113.98</v>
      </c>
      <c r="F15">
        <v>2.4394419241633103E-2</v>
      </c>
      <c r="G15">
        <v>1.421519216355227E-2</v>
      </c>
    </row>
    <row r="16" spans="1:7" x14ac:dyDescent="0.3">
      <c r="A16">
        <v>44118</v>
      </c>
      <c r="B16">
        <v>115.37</v>
      </c>
      <c r="C16">
        <v>105.52</v>
      </c>
      <c r="D16">
        <v>113.98</v>
      </c>
      <c r="E16">
        <v>107.31</v>
      </c>
      <c r="F16">
        <v>5.8519038427794379E-2</v>
      </c>
      <c r="G16">
        <v>6.0302561547941336E-3</v>
      </c>
    </row>
    <row r="17" spans="1:7" x14ac:dyDescent="0.3">
      <c r="A17">
        <v>44119</v>
      </c>
      <c r="B17">
        <v>109.77</v>
      </c>
      <c r="C17">
        <v>104.77</v>
      </c>
      <c r="D17">
        <v>107.31</v>
      </c>
      <c r="E17">
        <v>106.73</v>
      </c>
      <c r="F17">
        <v>5.4049016867020461E-3</v>
      </c>
      <c r="G17">
        <v>3.7192371607185359E-3</v>
      </c>
    </row>
    <row r="18" spans="1:7" x14ac:dyDescent="0.3">
      <c r="A18">
        <v>44120</v>
      </c>
      <c r="B18">
        <v>107.12</v>
      </c>
      <c r="C18">
        <v>99.66</v>
      </c>
      <c r="D18">
        <v>106.73</v>
      </c>
      <c r="E18">
        <v>103.52</v>
      </c>
      <c r="F18">
        <v>3.0075892438864549E-2</v>
      </c>
      <c r="G18">
        <v>3.2088959491660018E-2</v>
      </c>
    </row>
    <row r="19" spans="1:7" x14ac:dyDescent="0.3">
      <c r="A19">
        <v>44121</v>
      </c>
      <c r="B19">
        <v>105.78</v>
      </c>
      <c r="C19">
        <v>101.61</v>
      </c>
      <c r="D19">
        <v>103.52</v>
      </c>
      <c r="E19">
        <v>103.14</v>
      </c>
      <c r="F19">
        <v>3.6707882534775527E-3</v>
      </c>
      <c r="G19">
        <v>-8.3976147491657827E-3</v>
      </c>
    </row>
    <row r="20" spans="1:7" x14ac:dyDescent="0.3">
      <c r="A20">
        <v>44122</v>
      </c>
      <c r="B20">
        <v>107.9</v>
      </c>
      <c r="C20">
        <v>102.66</v>
      </c>
      <c r="D20">
        <v>103.14</v>
      </c>
      <c r="E20">
        <v>104.89</v>
      </c>
      <c r="F20">
        <v>-1.6967229009113849E-2</v>
      </c>
      <c r="G20">
        <v>-2.6556354265563575E-2</v>
      </c>
    </row>
    <row r="21" spans="1:7" x14ac:dyDescent="0.3">
      <c r="A21">
        <v>44123</v>
      </c>
      <c r="B21">
        <v>105.85</v>
      </c>
      <c r="C21">
        <v>101.56</v>
      </c>
      <c r="D21">
        <v>104.89</v>
      </c>
      <c r="E21">
        <v>102.84</v>
      </c>
      <c r="F21">
        <v>1.9544284488511754E-2</v>
      </c>
      <c r="G21">
        <v>-2.5631540006343378E-3</v>
      </c>
    </row>
    <row r="22" spans="1:7" x14ac:dyDescent="0.3">
      <c r="A22">
        <v>44124</v>
      </c>
      <c r="B22">
        <v>102.97</v>
      </c>
      <c r="C22">
        <v>92.85</v>
      </c>
      <c r="D22">
        <v>102.84</v>
      </c>
      <c r="E22">
        <v>94.81</v>
      </c>
      <c r="F22">
        <v>7.8082458187475723E-2</v>
      </c>
      <c r="G22">
        <v>2.8122611422998878E-2</v>
      </c>
    </row>
    <row r="23" spans="1:7" x14ac:dyDescent="0.3">
      <c r="A23">
        <v>44125</v>
      </c>
      <c r="B23">
        <v>99.96</v>
      </c>
      <c r="C23">
        <v>92.79</v>
      </c>
      <c r="D23">
        <v>94.81</v>
      </c>
      <c r="E23">
        <v>95.57</v>
      </c>
      <c r="F23">
        <v>-8.0160320641282645E-3</v>
      </c>
      <c r="G23">
        <v>-6.1615230243531993E-2</v>
      </c>
    </row>
    <row r="24" spans="1:7" x14ac:dyDescent="0.3">
      <c r="A24">
        <v>44126</v>
      </c>
      <c r="B24">
        <v>102.98</v>
      </c>
      <c r="C24">
        <v>95.45</v>
      </c>
      <c r="D24">
        <v>95.57</v>
      </c>
      <c r="E24">
        <v>102.49</v>
      </c>
      <c r="F24">
        <v>-7.2407659307313965E-2</v>
      </c>
      <c r="G24">
        <v>-5.8856588157155221E-2</v>
      </c>
    </row>
    <row r="25" spans="1:7" x14ac:dyDescent="0.3">
      <c r="A25">
        <v>44127</v>
      </c>
      <c r="B25">
        <v>106.51</v>
      </c>
      <c r="C25">
        <v>99.55</v>
      </c>
      <c r="D25">
        <v>102.49</v>
      </c>
      <c r="E25">
        <v>103.18</v>
      </c>
      <c r="F25">
        <v>-6.7323641330863104E-3</v>
      </c>
      <c r="G25">
        <v>1.189384800965021E-2</v>
      </c>
    </row>
    <row r="26" spans="1:7" x14ac:dyDescent="0.3">
      <c r="A26">
        <v>44128</v>
      </c>
      <c r="B26">
        <v>108.09</v>
      </c>
      <c r="C26">
        <v>102.91</v>
      </c>
      <c r="D26">
        <v>102.94</v>
      </c>
      <c r="E26">
        <v>105.39</v>
      </c>
      <c r="F26">
        <v>-2.141887962783473E-2</v>
      </c>
      <c r="G26">
        <v>-7.275923529555417E-3</v>
      </c>
    </row>
    <row r="27" spans="1:7" x14ac:dyDescent="0.3">
      <c r="A27">
        <v>44129</v>
      </c>
      <c r="B27">
        <v>105.73</v>
      </c>
      <c r="C27">
        <v>101.38</v>
      </c>
      <c r="D27">
        <v>105.39</v>
      </c>
      <c r="E27">
        <v>101.47</v>
      </c>
      <c r="F27">
        <v>3.719517980833098E-2</v>
      </c>
      <c r="G27">
        <v>1.5004241910071547E-2</v>
      </c>
    </row>
    <row r="28" spans="1:7" x14ac:dyDescent="0.3">
      <c r="A28">
        <v>44130</v>
      </c>
      <c r="B28">
        <v>104.51</v>
      </c>
      <c r="C28">
        <v>97.99</v>
      </c>
      <c r="D28">
        <v>101.34</v>
      </c>
      <c r="E28">
        <v>100.18</v>
      </c>
      <c r="F28">
        <v>1.2713117177490796E-2</v>
      </c>
      <c r="G28">
        <v>3.2606555763362577E-2</v>
      </c>
    </row>
    <row r="29" spans="1:7" x14ac:dyDescent="0.3">
      <c r="A29">
        <v>44131</v>
      </c>
      <c r="B29">
        <v>113.76</v>
      </c>
      <c r="C29">
        <v>99.69</v>
      </c>
      <c r="D29">
        <v>100.18</v>
      </c>
      <c r="E29">
        <v>109.06</v>
      </c>
      <c r="F29">
        <v>-8.8640447195048822E-2</v>
      </c>
      <c r="G29">
        <v>-2.7040777390552329E-2</v>
      </c>
    </row>
    <row r="30" spans="1:7" x14ac:dyDescent="0.3">
      <c r="A30">
        <v>44132</v>
      </c>
      <c r="B30">
        <v>120.19</v>
      </c>
      <c r="C30">
        <v>104.89</v>
      </c>
      <c r="D30">
        <v>109.06</v>
      </c>
      <c r="E30">
        <v>107.96</v>
      </c>
      <c r="F30">
        <v>1.0086191087474883E-2</v>
      </c>
      <c r="G30">
        <v>3.7078317729231758E-2</v>
      </c>
    </row>
    <row r="31" spans="1:7" x14ac:dyDescent="0.3">
      <c r="A31">
        <v>44133</v>
      </c>
      <c r="B31">
        <v>111.79</v>
      </c>
      <c r="C31">
        <v>94.21</v>
      </c>
      <c r="D31">
        <v>107.96</v>
      </c>
      <c r="E31">
        <v>97.05</v>
      </c>
      <c r="F31">
        <v>0.1010559466469062</v>
      </c>
      <c r="G31">
        <v>3.163824369164181E-3</v>
      </c>
    </row>
    <row r="32" spans="1:7" x14ac:dyDescent="0.3">
      <c r="A32">
        <v>44134</v>
      </c>
      <c r="B32">
        <v>98.94</v>
      </c>
      <c r="C32">
        <v>88.49</v>
      </c>
      <c r="D32">
        <v>97.05</v>
      </c>
      <c r="E32">
        <v>92.22</v>
      </c>
      <c r="F32">
        <v>4.9768160741885614E-2</v>
      </c>
      <c r="G32">
        <v>1.2334210662125256E-2</v>
      </c>
    </row>
    <row r="33" spans="1:7" x14ac:dyDescent="0.3">
      <c r="A33">
        <v>44135</v>
      </c>
      <c r="B33">
        <v>95.14</v>
      </c>
      <c r="C33">
        <v>89.06</v>
      </c>
      <c r="D33">
        <v>92.22</v>
      </c>
      <c r="E33">
        <v>90.88</v>
      </c>
      <c r="F33">
        <v>1.4530470613749791E-2</v>
      </c>
      <c r="G33">
        <v>-1.0476538823283477E-2</v>
      </c>
    </row>
    <row r="34" spans="1:7" x14ac:dyDescent="0.3">
      <c r="A34">
        <v>44136</v>
      </c>
      <c r="B34">
        <v>96.16</v>
      </c>
      <c r="C34">
        <v>89.52</v>
      </c>
      <c r="D34">
        <v>90.88</v>
      </c>
      <c r="E34">
        <v>94.03</v>
      </c>
      <c r="F34">
        <v>-3.4661091549295753E-2</v>
      </c>
      <c r="G34">
        <v>-2.5803449078263707E-2</v>
      </c>
    </row>
    <row r="35" spans="1:7" x14ac:dyDescent="0.3">
      <c r="A35">
        <v>44137</v>
      </c>
      <c r="B35">
        <v>98.98</v>
      </c>
      <c r="C35">
        <v>90.38</v>
      </c>
      <c r="D35">
        <v>94.03</v>
      </c>
      <c r="E35">
        <v>91.17</v>
      </c>
      <c r="F35">
        <v>3.0415824736786168E-2</v>
      </c>
      <c r="G35">
        <v>3.3119092627599156E-2</v>
      </c>
    </row>
    <row r="36" spans="1:7" x14ac:dyDescent="0.3">
      <c r="A36">
        <v>44138</v>
      </c>
      <c r="B36">
        <v>91.17</v>
      </c>
      <c r="C36">
        <v>80.84</v>
      </c>
      <c r="D36">
        <v>91.17</v>
      </c>
      <c r="E36">
        <v>87.57</v>
      </c>
      <c r="F36">
        <v>3.9486673247778992E-2</v>
      </c>
      <c r="G36">
        <v>-1.191314095044449E-2</v>
      </c>
    </row>
    <row r="37" spans="1:7" x14ac:dyDescent="0.3">
      <c r="A37">
        <v>44139</v>
      </c>
      <c r="B37">
        <v>88.99</v>
      </c>
      <c r="C37">
        <v>81.72</v>
      </c>
      <c r="D37">
        <v>87.57</v>
      </c>
      <c r="E37">
        <v>88.66</v>
      </c>
      <c r="F37">
        <v>-1.2447185109055736E-2</v>
      </c>
      <c r="G37">
        <v>-3.730228244628786E-2</v>
      </c>
    </row>
    <row r="38" spans="1:7" x14ac:dyDescent="0.3">
      <c r="A38">
        <v>44140</v>
      </c>
      <c r="B38">
        <v>93.65</v>
      </c>
      <c r="C38">
        <v>83.32</v>
      </c>
      <c r="D38">
        <v>88.66</v>
      </c>
      <c r="E38">
        <v>90.95</v>
      </c>
      <c r="F38">
        <v>-2.582900969997759E-2</v>
      </c>
      <c r="G38">
        <v>-3.5339989072666667E-2</v>
      </c>
    </row>
    <row r="39" spans="1:7" x14ac:dyDescent="0.3">
      <c r="A39">
        <v>44141</v>
      </c>
      <c r="B39">
        <v>100.01</v>
      </c>
      <c r="C39">
        <v>88.82</v>
      </c>
      <c r="D39">
        <v>90.95</v>
      </c>
      <c r="E39">
        <v>95.81</v>
      </c>
      <c r="F39">
        <v>-5.3435953820780702E-2</v>
      </c>
      <c r="G39">
        <v>-9.4581304420830348E-2</v>
      </c>
    </row>
    <row r="40" spans="1:7" x14ac:dyDescent="0.3">
      <c r="A40">
        <v>44142</v>
      </c>
      <c r="B40">
        <v>111.81</v>
      </c>
      <c r="C40">
        <v>90</v>
      </c>
      <c r="D40">
        <v>95.81</v>
      </c>
      <c r="E40">
        <v>92.54</v>
      </c>
      <c r="F40">
        <v>3.4130049055422162E-2</v>
      </c>
      <c r="G40">
        <v>4.4924614305750343E-2</v>
      </c>
    </row>
    <row r="41" spans="1:7" x14ac:dyDescent="0.3">
      <c r="A41">
        <v>44143</v>
      </c>
      <c r="B41">
        <v>100.92</v>
      </c>
      <c r="C41">
        <v>91.45</v>
      </c>
      <c r="D41">
        <v>92.54</v>
      </c>
      <c r="E41">
        <v>97.26</v>
      </c>
      <c r="F41">
        <v>-5.1004970823427698E-2</v>
      </c>
      <c r="G41">
        <v>-4.3412417970721817E-2</v>
      </c>
    </row>
    <row r="42" spans="1:7" x14ac:dyDescent="0.3">
      <c r="A42">
        <v>44144</v>
      </c>
      <c r="B42">
        <v>100.36</v>
      </c>
      <c r="C42">
        <v>93.37</v>
      </c>
      <c r="D42">
        <v>97.26</v>
      </c>
      <c r="E42">
        <v>94.63</v>
      </c>
      <c r="F42">
        <v>2.7040921242031724E-2</v>
      </c>
      <c r="G42">
        <v>2.2628315081145267E-2</v>
      </c>
    </row>
    <row r="43" spans="1:7" x14ac:dyDescent="0.3">
      <c r="A43">
        <v>44145</v>
      </c>
      <c r="B43">
        <v>105.45</v>
      </c>
      <c r="C43">
        <v>94.07</v>
      </c>
      <c r="D43">
        <v>94.63</v>
      </c>
      <c r="E43">
        <v>102.46</v>
      </c>
      <c r="F43">
        <v>-8.2743316073126794E-2</v>
      </c>
      <c r="G43">
        <v>-1.4422319721003607E-2</v>
      </c>
    </row>
    <row r="44" spans="1:7" x14ac:dyDescent="0.3">
      <c r="A44">
        <v>44146</v>
      </c>
      <c r="B44">
        <v>114.85</v>
      </c>
      <c r="C44">
        <v>101.9</v>
      </c>
      <c r="D44">
        <v>102.46</v>
      </c>
      <c r="E44">
        <v>103.1</v>
      </c>
      <c r="F44">
        <v>-6.246340035135578E-3</v>
      </c>
      <c r="G44">
        <v>-2.8944683493767442E-2</v>
      </c>
    </row>
    <row r="45" spans="1:7" x14ac:dyDescent="0.3">
      <c r="A45">
        <v>44147</v>
      </c>
      <c r="B45">
        <v>108.44</v>
      </c>
      <c r="C45">
        <v>99.5</v>
      </c>
      <c r="D45">
        <v>103.1</v>
      </c>
      <c r="E45">
        <v>104.39</v>
      </c>
      <c r="F45">
        <v>-1.2512124151309534E-2</v>
      </c>
      <c r="G45">
        <v>2.4358172921472576E-3</v>
      </c>
    </row>
    <row r="46" spans="1:7" x14ac:dyDescent="0.3">
      <c r="A46">
        <v>44148</v>
      </c>
      <c r="B46">
        <v>117.86</v>
      </c>
      <c r="C46">
        <v>103.42</v>
      </c>
      <c r="D46">
        <v>104.39</v>
      </c>
      <c r="E46">
        <v>116.71</v>
      </c>
      <c r="F46">
        <v>-0.11801896733403572</v>
      </c>
      <c r="G46">
        <v>-3.0446432430096371E-2</v>
      </c>
    </row>
    <row r="47" spans="1:7" x14ac:dyDescent="0.3">
      <c r="A47">
        <v>44149</v>
      </c>
      <c r="B47">
        <v>124.53</v>
      </c>
      <c r="C47">
        <v>107.61</v>
      </c>
      <c r="D47">
        <v>116.71</v>
      </c>
      <c r="E47">
        <v>121.57</v>
      </c>
      <c r="F47">
        <v>-4.164167594893331E-2</v>
      </c>
      <c r="G47">
        <v>3.3216599911925715E-2</v>
      </c>
    </row>
    <row r="48" spans="1:7" x14ac:dyDescent="0.3">
      <c r="A48">
        <v>44150</v>
      </c>
      <c r="B48">
        <v>130.53</v>
      </c>
      <c r="C48">
        <v>113.25</v>
      </c>
      <c r="D48">
        <v>121.57</v>
      </c>
      <c r="E48">
        <v>120.11</v>
      </c>
      <c r="F48">
        <v>1.2009541827753489E-2</v>
      </c>
      <c r="G48">
        <v>2.7156584170227482E-2</v>
      </c>
    </row>
    <row r="49" spans="1:7" x14ac:dyDescent="0.3">
      <c r="A49">
        <v>44151</v>
      </c>
      <c r="B49">
        <v>124.87</v>
      </c>
      <c r="C49">
        <v>114.59</v>
      </c>
      <c r="D49">
        <v>120.11</v>
      </c>
      <c r="E49">
        <v>120.13</v>
      </c>
      <c r="F49">
        <v>-1.6651402880696331E-4</v>
      </c>
      <c r="G49">
        <v>-2.7870058638603368E-2</v>
      </c>
    </row>
    <row r="50" spans="1:7" x14ac:dyDescent="0.3">
      <c r="A50">
        <v>44152</v>
      </c>
      <c r="B50">
        <v>127.69</v>
      </c>
      <c r="C50">
        <v>118.33</v>
      </c>
      <c r="D50">
        <v>120.13</v>
      </c>
      <c r="E50">
        <v>122.73</v>
      </c>
      <c r="F50">
        <v>-2.1643219845167705E-2</v>
      </c>
      <c r="G50">
        <v>-4.7070562460684195E-2</v>
      </c>
    </row>
    <row r="51" spans="1:7" x14ac:dyDescent="0.3">
      <c r="A51">
        <v>44153</v>
      </c>
      <c r="B51">
        <v>126.15</v>
      </c>
      <c r="C51">
        <v>107.24</v>
      </c>
      <c r="D51">
        <v>122.73</v>
      </c>
      <c r="E51">
        <v>114.22</v>
      </c>
      <c r="F51">
        <v>6.9339199869632551E-2</v>
      </c>
      <c r="G51">
        <v>8.1829669988191522E-3</v>
      </c>
    </row>
    <row r="52" spans="1:7" x14ac:dyDescent="0.3">
      <c r="A52">
        <v>44154</v>
      </c>
      <c r="B52">
        <v>118.6</v>
      </c>
      <c r="C52">
        <v>108.76</v>
      </c>
      <c r="D52">
        <v>114.22</v>
      </c>
      <c r="E52">
        <v>113.46</v>
      </c>
      <c r="F52">
        <v>6.6538259499212549E-3</v>
      </c>
      <c r="G52">
        <v>1.4495780766981325E-2</v>
      </c>
    </row>
    <row r="53" spans="1:7" x14ac:dyDescent="0.3">
      <c r="A53">
        <v>44155</v>
      </c>
      <c r="B53">
        <v>124.41</v>
      </c>
      <c r="C53">
        <v>113.28</v>
      </c>
      <c r="D53">
        <v>113.46</v>
      </c>
      <c r="E53">
        <v>116.23</v>
      </c>
      <c r="F53">
        <v>-2.4413890357835477E-2</v>
      </c>
      <c r="G53">
        <v>-8.1832054597092085E-2</v>
      </c>
    </row>
    <row r="54" spans="1:7" x14ac:dyDescent="0.3">
      <c r="A54">
        <v>44156</v>
      </c>
      <c r="B54">
        <v>128.31</v>
      </c>
      <c r="C54">
        <v>113.01</v>
      </c>
      <c r="D54">
        <v>116.23</v>
      </c>
      <c r="E54">
        <v>127.5</v>
      </c>
      <c r="F54">
        <v>-9.6962918351544358E-2</v>
      </c>
      <c r="G54">
        <v>-8.195051231314765E-2</v>
      </c>
    </row>
    <row r="55" spans="1:7" x14ac:dyDescent="0.3">
      <c r="A55">
        <v>44157</v>
      </c>
      <c r="B55">
        <v>129.07</v>
      </c>
      <c r="C55">
        <v>112.84</v>
      </c>
      <c r="D55">
        <v>127.5</v>
      </c>
      <c r="E55">
        <v>116.96</v>
      </c>
      <c r="F55">
        <v>8.2666666666666666E-2</v>
      </c>
      <c r="G55">
        <v>-1.4033245210589129E-2</v>
      </c>
    </row>
    <row r="56" spans="1:7" x14ac:dyDescent="0.3">
      <c r="A56">
        <v>44158</v>
      </c>
      <c r="B56">
        <v>129.47999999999999</v>
      </c>
      <c r="C56">
        <v>115.63</v>
      </c>
      <c r="D56">
        <v>116.96</v>
      </c>
      <c r="E56">
        <v>125.66</v>
      </c>
      <c r="F56">
        <v>-7.4384404924760616E-2</v>
      </c>
      <c r="G56">
        <v>-8.7712719415724782E-2</v>
      </c>
    </row>
    <row r="57" spans="1:7" x14ac:dyDescent="0.3">
      <c r="A57">
        <v>44159</v>
      </c>
      <c r="B57">
        <v>133.47</v>
      </c>
      <c r="C57">
        <v>122.02</v>
      </c>
      <c r="D57">
        <v>125.66</v>
      </c>
      <c r="E57">
        <v>127.73</v>
      </c>
      <c r="F57">
        <v>-1.6473022441508833E-2</v>
      </c>
      <c r="G57">
        <v>6.8129955838654999E-3</v>
      </c>
    </row>
    <row r="58" spans="1:7" x14ac:dyDescent="0.3">
      <c r="A58">
        <v>44160</v>
      </c>
      <c r="B58">
        <v>139.74</v>
      </c>
      <c r="C58">
        <v>119.08</v>
      </c>
      <c r="D58">
        <v>127.73</v>
      </c>
      <c r="E58">
        <v>122.72</v>
      </c>
      <c r="F58">
        <v>3.9223361778752075E-2</v>
      </c>
      <c r="G58">
        <v>5.8811861549142197E-2</v>
      </c>
    </row>
    <row r="59" spans="1:7" x14ac:dyDescent="0.3">
      <c r="A59">
        <v>44161</v>
      </c>
      <c r="B59">
        <v>125.69</v>
      </c>
      <c r="C59">
        <v>97.17</v>
      </c>
      <c r="D59">
        <v>122.72</v>
      </c>
      <c r="E59">
        <v>106.91</v>
      </c>
      <c r="F59">
        <v>0.12882985658409385</v>
      </c>
      <c r="G59">
        <v>8.6371619248331477E-2</v>
      </c>
    </row>
    <row r="60" spans="1:7" x14ac:dyDescent="0.3">
      <c r="A60">
        <v>44162</v>
      </c>
      <c r="B60">
        <v>110.08</v>
      </c>
      <c r="C60">
        <v>99.95</v>
      </c>
      <c r="D60">
        <v>106.91</v>
      </c>
      <c r="E60">
        <v>104.52</v>
      </c>
      <c r="F60">
        <v>2.2355252081189825E-2</v>
      </c>
      <c r="G60">
        <v>2.671946484179788E-3</v>
      </c>
    </row>
    <row r="61" spans="1:7" x14ac:dyDescent="0.3">
      <c r="A61">
        <v>44163</v>
      </c>
      <c r="B61">
        <v>109.86</v>
      </c>
      <c r="C61">
        <v>102.13</v>
      </c>
      <c r="D61">
        <v>104.52</v>
      </c>
      <c r="E61">
        <v>108.27</v>
      </c>
      <c r="F61">
        <v>-3.5878300803674046E-2</v>
      </c>
      <c r="G61">
        <v>-3.6929244646608739E-2</v>
      </c>
    </row>
    <row r="62" spans="1:7" x14ac:dyDescent="0.3">
      <c r="A62">
        <v>44164</v>
      </c>
      <c r="B62">
        <v>111.65</v>
      </c>
      <c r="C62">
        <v>106</v>
      </c>
      <c r="D62">
        <v>108.27</v>
      </c>
      <c r="E62">
        <v>109.45</v>
      </c>
      <c r="F62">
        <v>-1.0898679227856256E-2</v>
      </c>
      <c r="G62">
        <v>-5.0354095801037335E-2</v>
      </c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72BB-9B99-4B09-8BEB-3D8320818DCC}">
  <sheetPr codeName="Sheet12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44104</v>
      </c>
      <c r="B2">
        <v>0.29830000000000001</v>
      </c>
      <c r="C2">
        <v>0.23860000000000001</v>
      </c>
      <c r="D2">
        <v>0.24329999999999999</v>
      </c>
      <c r="E2">
        <v>0.24790000000000001</v>
      </c>
      <c r="F2"/>
      <c r="G2"/>
    </row>
    <row r="3" spans="1:7" x14ac:dyDescent="0.3">
      <c r="A3">
        <v>44105</v>
      </c>
      <c r="B3">
        <v>0.38519999999999999</v>
      </c>
      <c r="C3">
        <v>0.2316</v>
      </c>
      <c r="D3">
        <v>0.24790000000000001</v>
      </c>
      <c r="E3">
        <v>0.28110000000000002</v>
      </c>
      <c r="F3">
        <v>-0.13392496974586532</v>
      </c>
      <c r="G3">
        <v>1.8370296259240804E-2</v>
      </c>
    </row>
    <row r="4" spans="1:7" x14ac:dyDescent="0.3">
      <c r="A4">
        <v>44106</v>
      </c>
      <c r="B4">
        <v>0.33129999999999998</v>
      </c>
      <c r="C4">
        <v>0.2276</v>
      </c>
      <c r="D4">
        <v>0.28110000000000002</v>
      </c>
      <c r="E4">
        <v>0.26840000000000003</v>
      </c>
      <c r="F4">
        <v>4.5179651369619322E-2</v>
      </c>
      <c r="G4">
        <v>2.0894085671413598E-2</v>
      </c>
    </row>
    <row r="5" spans="1:7" x14ac:dyDescent="0.3">
      <c r="A5">
        <v>44107</v>
      </c>
      <c r="B5">
        <v>0.28710000000000002</v>
      </c>
      <c r="C5">
        <v>0.25280000000000002</v>
      </c>
      <c r="D5">
        <v>0.26840000000000003</v>
      </c>
      <c r="E5">
        <v>0.27839999999999998</v>
      </c>
      <c r="F5">
        <v>-3.7257824143069884E-2</v>
      </c>
      <c r="G5">
        <v>-1.4168811265651282E-3</v>
      </c>
    </row>
    <row r="6" spans="1:7" x14ac:dyDescent="0.3">
      <c r="A6">
        <v>44108</v>
      </c>
      <c r="B6">
        <v>0.33289999999999997</v>
      </c>
      <c r="C6">
        <v>0.26800000000000002</v>
      </c>
      <c r="D6">
        <v>0.27839999999999998</v>
      </c>
      <c r="E6">
        <v>0.2772</v>
      </c>
      <c r="F6">
        <v>4.3103448275860767E-3</v>
      </c>
      <c r="G6">
        <v>-1.816239316239332E-2</v>
      </c>
    </row>
    <row r="7" spans="1:7" x14ac:dyDescent="0.3">
      <c r="A7">
        <v>44109</v>
      </c>
      <c r="B7">
        <v>0.28520000000000001</v>
      </c>
      <c r="C7">
        <v>0.24979999999999999</v>
      </c>
      <c r="D7">
        <v>0.2772</v>
      </c>
      <c r="E7">
        <v>0.25259999999999999</v>
      </c>
      <c r="F7">
        <v>8.8744588744588793E-2</v>
      </c>
      <c r="G7">
        <v>-3.2613936076684169E-3</v>
      </c>
    </row>
    <row r="8" spans="1:7" x14ac:dyDescent="0.3">
      <c r="A8">
        <v>44110</v>
      </c>
      <c r="B8">
        <v>0.34129999999999999</v>
      </c>
      <c r="C8">
        <v>0.22550000000000001</v>
      </c>
      <c r="D8">
        <v>0.31909999999999999</v>
      </c>
      <c r="E8">
        <v>0.2349</v>
      </c>
      <c r="F8">
        <v>7.0071258907363432E-2</v>
      </c>
      <c r="G8">
        <v>3.6493668023518722E-2</v>
      </c>
    </row>
    <row r="9" spans="1:7" x14ac:dyDescent="0.3">
      <c r="A9">
        <v>44111</v>
      </c>
      <c r="B9">
        <v>0.29880000000000001</v>
      </c>
      <c r="C9">
        <v>0.20799999999999999</v>
      </c>
      <c r="D9">
        <v>0.2349</v>
      </c>
      <c r="E9">
        <v>0.26269999999999999</v>
      </c>
      <c r="F9">
        <v>-0.11834823329076194</v>
      </c>
      <c r="G9">
        <v>-3.1098723778788528E-3</v>
      </c>
    </row>
    <row r="10" spans="1:7" x14ac:dyDescent="0.3">
      <c r="A10">
        <v>44112</v>
      </c>
      <c r="B10">
        <v>0.3</v>
      </c>
      <c r="C10">
        <v>0.2387</v>
      </c>
      <c r="D10">
        <v>0.26269999999999999</v>
      </c>
      <c r="E10">
        <v>0.27639999999999998</v>
      </c>
      <c r="F10">
        <v>-5.2150742291587227E-2</v>
      </c>
      <c r="G10">
        <v>-2.7170892925038714E-2</v>
      </c>
    </row>
    <row r="11" spans="1:7" x14ac:dyDescent="0.3">
      <c r="A11">
        <v>44113</v>
      </c>
      <c r="B11">
        <v>0.28770000000000001</v>
      </c>
      <c r="C11">
        <v>0.24690000000000001</v>
      </c>
      <c r="D11">
        <v>0.27639999999999998</v>
      </c>
      <c r="E11">
        <v>0.27800000000000002</v>
      </c>
      <c r="F11">
        <v>-5.7887120115776014E-3</v>
      </c>
      <c r="G11">
        <v>-4.0461275626423765E-2</v>
      </c>
    </row>
    <row r="12" spans="1:7" x14ac:dyDescent="0.3">
      <c r="A12">
        <v>44114</v>
      </c>
      <c r="B12">
        <v>0.3301</v>
      </c>
      <c r="C12">
        <v>0.27529999999999999</v>
      </c>
      <c r="D12">
        <v>0.27800000000000002</v>
      </c>
      <c r="E12">
        <v>0.30409999999999998</v>
      </c>
      <c r="F12">
        <v>-9.3884892086330662E-2</v>
      </c>
      <c r="G12">
        <v>-1.4969486330423276E-2</v>
      </c>
    </row>
    <row r="13" spans="1:7" x14ac:dyDescent="0.3">
      <c r="A13">
        <v>44115</v>
      </c>
      <c r="B13">
        <v>0.49390000000000001</v>
      </c>
      <c r="C13">
        <v>0.30409999999999998</v>
      </c>
      <c r="D13">
        <v>0.30409999999999998</v>
      </c>
      <c r="E13">
        <v>0.42880000000000001</v>
      </c>
      <c r="F13">
        <v>-0.41006247944755025</v>
      </c>
      <c r="G13">
        <v>-9.4100517687663032E-3</v>
      </c>
    </row>
    <row r="14" spans="1:7" x14ac:dyDescent="0.3">
      <c r="A14">
        <v>44116</v>
      </c>
      <c r="B14">
        <v>0.43290000000000001</v>
      </c>
      <c r="C14">
        <v>0.34329999999999999</v>
      </c>
      <c r="D14">
        <v>0.42880000000000001</v>
      </c>
      <c r="E14">
        <v>0.3594</v>
      </c>
      <c r="F14">
        <v>0.16184701492537312</v>
      </c>
      <c r="G14">
        <v>-3.3496273739882954E-2</v>
      </c>
    </row>
    <row r="15" spans="1:7" x14ac:dyDescent="0.3">
      <c r="A15">
        <v>44117</v>
      </c>
      <c r="B15">
        <v>0.37580000000000002</v>
      </c>
      <c r="C15">
        <v>0.3301</v>
      </c>
      <c r="D15">
        <v>0.3594</v>
      </c>
      <c r="E15">
        <v>0.34029999999999999</v>
      </c>
      <c r="F15">
        <v>5.3144129104062299E-2</v>
      </c>
      <c r="G15">
        <v>1.421519216355227E-2</v>
      </c>
    </row>
    <row r="16" spans="1:7" x14ac:dyDescent="0.3">
      <c r="A16">
        <v>44118</v>
      </c>
      <c r="B16">
        <v>0.42459999999999998</v>
      </c>
      <c r="C16">
        <v>0.3382</v>
      </c>
      <c r="D16">
        <v>0.34029999999999999</v>
      </c>
      <c r="E16">
        <v>0.4083</v>
      </c>
      <c r="F16">
        <v>-0.19982368498383773</v>
      </c>
      <c r="G16">
        <v>6.0302561547941336E-3</v>
      </c>
    </row>
    <row r="17" spans="1:7" x14ac:dyDescent="0.3">
      <c r="A17">
        <v>44119</v>
      </c>
      <c r="B17">
        <v>0.41349999999999998</v>
      </c>
      <c r="C17">
        <v>0.35439999999999999</v>
      </c>
      <c r="D17">
        <v>0.4083</v>
      </c>
      <c r="E17">
        <v>0.36070000000000002</v>
      </c>
      <c r="F17">
        <v>0.11658094538329655</v>
      </c>
      <c r="G17">
        <v>3.7192371607185359E-3</v>
      </c>
    </row>
    <row r="18" spans="1:7" x14ac:dyDescent="0.3">
      <c r="A18">
        <v>44120</v>
      </c>
      <c r="B18">
        <v>0.3659</v>
      </c>
      <c r="C18">
        <v>0.32</v>
      </c>
      <c r="D18">
        <v>0.36070000000000002</v>
      </c>
      <c r="E18">
        <v>0.32429999999999998</v>
      </c>
      <c r="F18">
        <v>0.10091488771832557</v>
      </c>
      <c r="G18">
        <v>3.2088959491660018E-2</v>
      </c>
    </row>
    <row r="19" spans="1:7" x14ac:dyDescent="0.3">
      <c r="A19">
        <v>44121</v>
      </c>
      <c r="B19">
        <v>0.35749999999999998</v>
      </c>
      <c r="C19">
        <v>0.31090000000000001</v>
      </c>
      <c r="D19">
        <v>0.32429999999999998</v>
      </c>
      <c r="E19">
        <v>0.34849999999999998</v>
      </c>
      <c r="F19">
        <v>-7.4622263336416861E-2</v>
      </c>
      <c r="G19">
        <v>-8.3976147491657827E-3</v>
      </c>
    </row>
    <row r="20" spans="1:7" x14ac:dyDescent="0.3">
      <c r="A20">
        <v>44122</v>
      </c>
      <c r="B20">
        <v>0.35370000000000001</v>
      </c>
      <c r="C20">
        <v>0.33560000000000001</v>
      </c>
      <c r="D20">
        <v>0.34849999999999998</v>
      </c>
      <c r="E20">
        <v>0.34589999999999999</v>
      </c>
      <c r="F20">
        <v>7.460545193687218E-3</v>
      </c>
      <c r="G20">
        <v>-2.6556354265563575E-2</v>
      </c>
    </row>
    <row r="21" spans="1:7" x14ac:dyDescent="0.3">
      <c r="A21">
        <v>44123</v>
      </c>
      <c r="B21">
        <v>0.34589999999999999</v>
      </c>
      <c r="C21">
        <v>0.3201</v>
      </c>
      <c r="D21">
        <v>0.34589999999999999</v>
      </c>
      <c r="E21">
        <v>0.32450000000000001</v>
      </c>
      <c r="F21">
        <v>6.1867591789534493E-2</v>
      </c>
      <c r="G21">
        <v>-2.5631540006343378E-3</v>
      </c>
    </row>
    <row r="22" spans="1:7" x14ac:dyDescent="0.3">
      <c r="A22">
        <v>44124</v>
      </c>
      <c r="B22">
        <v>0.3362</v>
      </c>
      <c r="C22">
        <v>0.27</v>
      </c>
      <c r="D22">
        <v>0.32450000000000001</v>
      </c>
      <c r="E22">
        <v>0.28439999999999999</v>
      </c>
      <c r="F22">
        <v>0.12357473035439148</v>
      </c>
      <c r="G22">
        <v>2.8122611422998878E-2</v>
      </c>
    </row>
    <row r="23" spans="1:7" x14ac:dyDescent="0.3">
      <c r="A23">
        <v>44125</v>
      </c>
      <c r="B23">
        <v>0.35249999999999998</v>
      </c>
      <c r="C23">
        <v>0.2828</v>
      </c>
      <c r="D23">
        <v>0.28439999999999999</v>
      </c>
      <c r="E23">
        <v>0.32750000000000001</v>
      </c>
      <c r="F23">
        <v>-0.15154711673699017</v>
      </c>
      <c r="G23">
        <v>-6.1615230243531993E-2</v>
      </c>
    </row>
    <row r="24" spans="1:7" x14ac:dyDescent="0.3">
      <c r="A24">
        <v>44126</v>
      </c>
      <c r="B24">
        <v>0.36</v>
      </c>
      <c r="C24">
        <v>0.32379999999999998</v>
      </c>
      <c r="D24">
        <v>0.32750000000000001</v>
      </c>
      <c r="E24">
        <v>0.33850000000000002</v>
      </c>
      <c r="F24">
        <v>-3.3587786259541952E-2</v>
      </c>
      <c r="G24">
        <v>-5.8856588157155221E-2</v>
      </c>
    </row>
    <row r="25" spans="1:7" x14ac:dyDescent="0.3">
      <c r="A25">
        <v>44127</v>
      </c>
      <c r="B25">
        <v>0.34860000000000002</v>
      </c>
      <c r="C25">
        <v>0.31709999999999999</v>
      </c>
      <c r="D25">
        <v>0.33850000000000002</v>
      </c>
      <c r="E25">
        <v>0.33910000000000001</v>
      </c>
      <c r="F25">
        <v>-1.7725258493352936E-3</v>
      </c>
      <c r="G25">
        <v>1.189384800965021E-2</v>
      </c>
    </row>
    <row r="26" spans="1:7" x14ac:dyDescent="0.3">
      <c r="A26">
        <v>44128</v>
      </c>
      <c r="B26">
        <v>0.34129999999999999</v>
      </c>
      <c r="C26">
        <v>0.32550000000000001</v>
      </c>
      <c r="D26">
        <v>0.33910000000000001</v>
      </c>
      <c r="E26">
        <v>0.32779999999999998</v>
      </c>
      <c r="F26">
        <v>3.3323503391330056E-2</v>
      </c>
      <c r="G26">
        <v>-7.275923529555417E-3</v>
      </c>
    </row>
    <row r="27" spans="1:7" x14ac:dyDescent="0.3">
      <c r="A27">
        <v>44129</v>
      </c>
      <c r="B27">
        <v>0.32990000000000003</v>
      </c>
      <c r="C27">
        <v>0.30499999999999999</v>
      </c>
      <c r="D27">
        <v>0.32779999999999998</v>
      </c>
      <c r="E27">
        <v>0.31359999999999999</v>
      </c>
      <c r="F27">
        <v>4.3319097010372176E-2</v>
      </c>
      <c r="G27">
        <v>1.5004241910071547E-2</v>
      </c>
    </row>
    <row r="28" spans="1:7" x14ac:dyDescent="0.3">
      <c r="A28">
        <v>44130</v>
      </c>
      <c r="B28">
        <v>0.32</v>
      </c>
      <c r="C28">
        <v>0.28549999999999998</v>
      </c>
      <c r="D28">
        <v>0.31359999999999999</v>
      </c>
      <c r="E28">
        <v>0.29609999999999997</v>
      </c>
      <c r="F28">
        <v>5.5803571428571508E-2</v>
      </c>
      <c r="G28">
        <v>3.2606555763362577E-2</v>
      </c>
    </row>
    <row r="29" spans="1:7" x14ac:dyDescent="0.3">
      <c r="A29">
        <v>44131</v>
      </c>
      <c r="B29">
        <v>0.32</v>
      </c>
      <c r="C29">
        <v>0.28689999999999999</v>
      </c>
      <c r="D29">
        <v>0.29609999999999997</v>
      </c>
      <c r="E29">
        <v>0.2949</v>
      </c>
      <c r="F29">
        <v>4.0526849037486601E-3</v>
      </c>
      <c r="G29">
        <v>-2.7040777390552329E-2</v>
      </c>
    </row>
    <row r="30" spans="1:7" x14ac:dyDescent="0.3">
      <c r="A30">
        <v>44132</v>
      </c>
      <c r="B30">
        <v>0.30740000000000001</v>
      </c>
      <c r="C30">
        <v>0.27100000000000002</v>
      </c>
      <c r="D30">
        <v>0.2949</v>
      </c>
      <c r="E30">
        <v>0.27929999999999999</v>
      </c>
      <c r="F30">
        <v>5.2899287894201397E-2</v>
      </c>
      <c r="G30">
        <v>3.7078317729231758E-2</v>
      </c>
    </row>
    <row r="31" spans="1:7" x14ac:dyDescent="0.3">
      <c r="A31">
        <v>44133</v>
      </c>
      <c r="B31">
        <v>0.28470000000000001</v>
      </c>
      <c r="C31">
        <v>0.25209999999999999</v>
      </c>
      <c r="D31">
        <v>0.27929999999999999</v>
      </c>
      <c r="E31">
        <v>0.25659999999999999</v>
      </c>
      <c r="F31">
        <v>8.1274615109201531E-2</v>
      </c>
      <c r="G31">
        <v>3.163824369164181E-3</v>
      </c>
    </row>
    <row r="32" spans="1:7" x14ac:dyDescent="0.3">
      <c r="A32">
        <v>44134</v>
      </c>
      <c r="B32">
        <v>0.27029999999999998</v>
      </c>
      <c r="C32">
        <v>0.2306</v>
      </c>
      <c r="D32">
        <v>0.25659999999999999</v>
      </c>
      <c r="E32">
        <v>0.2671</v>
      </c>
      <c r="F32">
        <v>-4.0919719407638278E-2</v>
      </c>
      <c r="G32">
        <v>1.2334210662125256E-2</v>
      </c>
    </row>
    <row r="33" spans="1:7" x14ac:dyDescent="0.3">
      <c r="A33">
        <v>44135</v>
      </c>
      <c r="B33">
        <v>0.29070000000000001</v>
      </c>
      <c r="C33">
        <v>0.26129999999999998</v>
      </c>
      <c r="D33">
        <v>0.2671</v>
      </c>
      <c r="E33">
        <v>0.28810000000000002</v>
      </c>
      <c r="F33">
        <v>-7.8622238861849603E-2</v>
      </c>
      <c r="G33">
        <v>-1.0476538823283477E-2</v>
      </c>
    </row>
    <row r="34" spans="1:7" x14ac:dyDescent="0.3">
      <c r="A34">
        <v>44136</v>
      </c>
      <c r="B34">
        <v>0.29239999999999999</v>
      </c>
      <c r="C34">
        <v>0.26240000000000002</v>
      </c>
      <c r="D34">
        <v>0.28810000000000002</v>
      </c>
      <c r="E34">
        <v>0.26719999999999999</v>
      </c>
      <c r="F34">
        <v>7.2544255466851837E-2</v>
      </c>
      <c r="G34">
        <v>-2.5803449078263707E-2</v>
      </c>
    </row>
    <row r="35" spans="1:7" x14ac:dyDescent="0.3">
      <c r="A35">
        <v>44137</v>
      </c>
      <c r="B35">
        <v>0.2772</v>
      </c>
      <c r="C35">
        <v>0.2472</v>
      </c>
      <c r="D35">
        <v>0.26719999999999999</v>
      </c>
      <c r="E35">
        <v>0.253</v>
      </c>
      <c r="F35">
        <v>5.3143712574850288E-2</v>
      </c>
      <c r="G35">
        <v>3.3119092627599156E-2</v>
      </c>
    </row>
    <row r="36" spans="1:7" x14ac:dyDescent="0.3">
      <c r="A36">
        <v>44138</v>
      </c>
      <c r="B36">
        <v>0.26500000000000001</v>
      </c>
      <c r="C36">
        <v>0.23649999999999999</v>
      </c>
      <c r="D36">
        <v>0.253</v>
      </c>
      <c r="E36">
        <v>0.25650000000000001</v>
      </c>
      <c r="F36">
        <v>-1.383399209486158E-2</v>
      </c>
      <c r="G36">
        <v>-1.191314095044449E-2</v>
      </c>
    </row>
    <row r="37" spans="1:7" x14ac:dyDescent="0.3">
      <c r="A37">
        <v>44139</v>
      </c>
      <c r="B37">
        <v>0.26669999999999999</v>
      </c>
      <c r="C37">
        <v>0.2382</v>
      </c>
      <c r="D37">
        <v>0.25650000000000001</v>
      </c>
      <c r="E37">
        <v>0.24929999999999999</v>
      </c>
      <c r="F37">
        <v>2.8070175438596578E-2</v>
      </c>
      <c r="G37">
        <v>-3.730228244628786E-2</v>
      </c>
    </row>
    <row r="38" spans="1:7" x14ac:dyDescent="0.3">
      <c r="A38">
        <v>44140</v>
      </c>
      <c r="B38">
        <v>0.27379999999999999</v>
      </c>
      <c r="C38">
        <v>0.23899999999999999</v>
      </c>
      <c r="D38">
        <v>0.24929999999999999</v>
      </c>
      <c r="E38">
        <v>0.26390000000000002</v>
      </c>
      <c r="F38">
        <v>-5.8563979141596612E-2</v>
      </c>
      <c r="G38">
        <v>-3.5339989072666667E-2</v>
      </c>
    </row>
    <row r="39" spans="1:7" x14ac:dyDescent="0.3">
      <c r="A39">
        <v>44141</v>
      </c>
      <c r="B39">
        <v>0.31850000000000001</v>
      </c>
      <c r="C39">
        <v>0.26050000000000001</v>
      </c>
      <c r="D39">
        <v>0.26390000000000002</v>
      </c>
      <c r="E39">
        <v>0.3145</v>
      </c>
      <c r="F39">
        <v>-0.19173929518757094</v>
      </c>
      <c r="G39">
        <v>-9.4581304420830348E-2</v>
      </c>
    </row>
    <row r="40" spans="1:7" x14ac:dyDescent="0.3">
      <c r="A40">
        <v>44142</v>
      </c>
      <c r="B40">
        <v>0.35</v>
      </c>
      <c r="C40">
        <v>0.27060000000000001</v>
      </c>
      <c r="D40">
        <v>0.3145</v>
      </c>
      <c r="E40">
        <v>0.28349999999999997</v>
      </c>
      <c r="F40">
        <v>9.8569157392686901E-2</v>
      </c>
      <c r="G40">
        <v>4.4924614305750343E-2</v>
      </c>
    </row>
    <row r="41" spans="1:7" x14ac:dyDescent="0.3">
      <c r="A41">
        <v>44143</v>
      </c>
      <c r="B41">
        <v>0.32500000000000001</v>
      </c>
      <c r="C41">
        <v>0.27800000000000002</v>
      </c>
      <c r="D41">
        <v>0.28349999999999997</v>
      </c>
      <c r="E41">
        <v>0.30599999999999999</v>
      </c>
      <c r="F41">
        <v>-7.9365079365079527E-2</v>
      </c>
      <c r="G41">
        <v>-4.3412417970721817E-2</v>
      </c>
    </row>
    <row r="42" spans="1:7" x14ac:dyDescent="0.3">
      <c r="A42">
        <v>44144</v>
      </c>
      <c r="B42">
        <v>0.33400000000000002</v>
      </c>
      <c r="C42">
        <v>0.29389999999999999</v>
      </c>
      <c r="D42">
        <v>0.30599999999999999</v>
      </c>
      <c r="E42">
        <v>0.32819999999999999</v>
      </c>
      <c r="F42">
        <v>-7.2549019607843102E-2</v>
      </c>
      <c r="G42">
        <v>2.2628315081145267E-2</v>
      </c>
    </row>
    <row r="43" spans="1:7" x14ac:dyDescent="0.3">
      <c r="A43">
        <v>44145</v>
      </c>
      <c r="B43">
        <v>0.34789999999999999</v>
      </c>
      <c r="C43">
        <v>0.31559999999999999</v>
      </c>
      <c r="D43">
        <v>0.32819999999999999</v>
      </c>
      <c r="E43">
        <v>0.34200000000000003</v>
      </c>
      <c r="F43">
        <v>-4.2047531992687404E-2</v>
      </c>
      <c r="G43">
        <v>-1.4422319721003607E-2</v>
      </c>
    </row>
    <row r="44" spans="1:7" x14ac:dyDescent="0.3">
      <c r="A44">
        <v>44146</v>
      </c>
      <c r="B44">
        <v>0.35630000000000001</v>
      </c>
      <c r="C44">
        <v>0.31059999999999999</v>
      </c>
      <c r="D44">
        <v>0.34200000000000003</v>
      </c>
      <c r="E44">
        <v>0.31530000000000002</v>
      </c>
      <c r="F44">
        <v>7.8070175438596512E-2</v>
      </c>
      <c r="G44">
        <v>-2.8944683493767442E-2</v>
      </c>
    </row>
    <row r="45" spans="1:7" x14ac:dyDescent="0.3">
      <c r="A45">
        <v>44147</v>
      </c>
      <c r="B45">
        <v>0.32450000000000001</v>
      </c>
      <c r="C45">
        <v>0.29120000000000001</v>
      </c>
      <c r="D45">
        <v>0.31530000000000002</v>
      </c>
      <c r="E45">
        <v>0.29809999999999998</v>
      </c>
      <c r="F45">
        <v>5.4551221059308763E-2</v>
      </c>
      <c r="G45">
        <v>2.4358172921472576E-3</v>
      </c>
    </row>
    <row r="46" spans="1:7" x14ac:dyDescent="0.3">
      <c r="A46">
        <v>44148</v>
      </c>
      <c r="B46">
        <v>0.32679999999999998</v>
      </c>
      <c r="C46">
        <v>0.29399999999999998</v>
      </c>
      <c r="D46">
        <v>0.29809999999999998</v>
      </c>
      <c r="E46">
        <v>0.31919999999999998</v>
      </c>
      <c r="F46">
        <v>-7.0781616907078293E-2</v>
      </c>
      <c r="G46">
        <v>-3.0446432430096371E-2</v>
      </c>
    </row>
    <row r="47" spans="1:7" x14ac:dyDescent="0.3">
      <c r="A47">
        <v>44149</v>
      </c>
      <c r="B47">
        <v>0.32</v>
      </c>
      <c r="C47">
        <v>0.29399999999999998</v>
      </c>
      <c r="D47">
        <v>0.31919999999999998</v>
      </c>
      <c r="E47">
        <v>0.30599999999999999</v>
      </c>
      <c r="F47">
        <v>4.1353383458646586E-2</v>
      </c>
      <c r="G47">
        <v>3.3216599911925715E-2</v>
      </c>
    </row>
    <row r="48" spans="1:7" x14ac:dyDescent="0.3">
      <c r="A48">
        <v>44150</v>
      </c>
      <c r="B48">
        <v>0.32100000000000001</v>
      </c>
      <c r="C48">
        <v>0.29599999999999999</v>
      </c>
      <c r="D48">
        <v>0.30599999999999999</v>
      </c>
      <c r="E48">
        <v>0.30559999999999998</v>
      </c>
      <c r="F48">
        <v>1.3071895424836555E-3</v>
      </c>
      <c r="G48">
        <v>2.7156584170227482E-2</v>
      </c>
    </row>
    <row r="49" spans="1:7" x14ac:dyDescent="0.3">
      <c r="A49">
        <v>44151</v>
      </c>
      <c r="B49">
        <v>0.33879999999999999</v>
      </c>
      <c r="C49">
        <v>0.2969</v>
      </c>
      <c r="D49">
        <v>0.30559999999999998</v>
      </c>
      <c r="E49">
        <v>0.32200000000000001</v>
      </c>
      <c r="F49">
        <v>-5.3664921465968574E-2</v>
      </c>
      <c r="G49">
        <v>-2.7870058638603368E-2</v>
      </c>
    </row>
    <row r="50" spans="1:7" x14ac:dyDescent="0.3">
      <c r="A50">
        <v>44152</v>
      </c>
      <c r="B50">
        <v>0.34789999999999999</v>
      </c>
      <c r="C50">
        <v>0.31430000000000002</v>
      </c>
      <c r="D50">
        <v>0.32200000000000001</v>
      </c>
      <c r="E50">
        <v>0.34510000000000002</v>
      </c>
      <c r="F50">
        <v>-7.1739130434782528E-2</v>
      </c>
      <c r="G50">
        <v>-4.7070562460684195E-2</v>
      </c>
    </row>
    <row r="51" spans="1:7" x14ac:dyDescent="0.3">
      <c r="A51">
        <v>44153</v>
      </c>
      <c r="B51">
        <v>0.35210000000000002</v>
      </c>
      <c r="C51">
        <v>0.30880000000000002</v>
      </c>
      <c r="D51">
        <v>0.34510000000000002</v>
      </c>
      <c r="E51">
        <v>0.32390000000000002</v>
      </c>
      <c r="F51">
        <v>6.1431469139379913E-2</v>
      </c>
      <c r="G51">
        <v>8.1829669988191522E-3</v>
      </c>
    </row>
    <row r="52" spans="1:7" x14ac:dyDescent="0.3">
      <c r="A52">
        <v>44154</v>
      </c>
      <c r="B52">
        <v>0.33</v>
      </c>
      <c r="C52">
        <v>0.30830000000000002</v>
      </c>
      <c r="D52">
        <v>0.32390000000000002</v>
      </c>
      <c r="E52">
        <v>0.31440000000000001</v>
      </c>
      <c r="F52">
        <v>2.9330040135844393E-2</v>
      </c>
      <c r="G52">
        <v>1.4495780766981325E-2</v>
      </c>
    </row>
    <row r="53" spans="1:7" x14ac:dyDescent="0.3">
      <c r="A53">
        <v>44155</v>
      </c>
      <c r="B53">
        <v>0.33579999999999999</v>
      </c>
      <c r="C53">
        <v>0.31240000000000001</v>
      </c>
      <c r="D53">
        <v>0.31440000000000001</v>
      </c>
      <c r="E53">
        <v>0.32190000000000002</v>
      </c>
      <c r="F53">
        <v>-2.385496183206115E-2</v>
      </c>
      <c r="G53">
        <v>-8.1832054597092085E-2</v>
      </c>
    </row>
    <row r="54" spans="1:7" x14ac:dyDescent="0.3">
      <c r="A54">
        <v>44156</v>
      </c>
      <c r="B54">
        <v>0.35949999999999999</v>
      </c>
      <c r="C54">
        <v>0.31419999999999998</v>
      </c>
      <c r="D54">
        <v>0.32190000000000002</v>
      </c>
      <c r="E54">
        <v>0.35799999999999998</v>
      </c>
      <c r="F54">
        <v>-0.11214662938800868</v>
      </c>
      <c r="G54">
        <v>-8.195051231314765E-2</v>
      </c>
    </row>
    <row r="55" spans="1:7" x14ac:dyDescent="0.3">
      <c r="A55">
        <v>44157</v>
      </c>
      <c r="B55">
        <v>0.375</v>
      </c>
      <c r="C55">
        <v>0.32150000000000001</v>
      </c>
      <c r="D55">
        <v>0.35799999999999998</v>
      </c>
      <c r="E55">
        <v>0.35970000000000002</v>
      </c>
      <c r="F55">
        <v>-4.7486033519554827E-3</v>
      </c>
      <c r="G55">
        <v>-1.4033245210589129E-2</v>
      </c>
    </row>
    <row r="56" spans="1:7" x14ac:dyDescent="0.3">
      <c r="A56">
        <v>44158</v>
      </c>
      <c r="B56">
        <v>0.38800000000000001</v>
      </c>
      <c r="C56">
        <v>0.34260000000000002</v>
      </c>
      <c r="D56">
        <v>0.35970000000000002</v>
      </c>
      <c r="E56">
        <v>0.36599999999999999</v>
      </c>
      <c r="F56">
        <v>-1.7514595496246788E-2</v>
      </c>
      <c r="G56">
        <v>-8.7712719415724782E-2</v>
      </c>
    </row>
    <row r="57" spans="1:7" x14ac:dyDescent="0.3">
      <c r="A57">
        <v>44159</v>
      </c>
      <c r="B57">
        <v>0.40400000000000003</v>
      </c>
      <c r="C57">
        <v>0.35349999999999998</v>
      </c>
      <c r="D57">
        <v>0.36599999999999999</v>
      </c>
      <c r="E57">
        <v>0.37430000000000002</v>
      </c>
      <c r="F57">
        <v>-2.2677595628415315E-2</v>
      </c>
      <c r="G57">
        <v>6.8129955838654999E-3</v>
      </c>
    </row>
    <row r="58" spans="1:7" x14ac:dyDescent="0.3">
      <c r="A58">
        <v>44160</v>
      </c>
      <c r="B58">
        <v>0.40970000000000001</v>
      </c>
      <c r="C58">
        <v>0.35299999999999998</v>
      </c>
      <c r="D58">
        <v>0.37430000000000002</v>
      </c>
      <c r="E58">
        <v>0.36749999999999999</v>
      </c>
      <c r="F58">
        <v>1.8167245524980058E-2</v>
      </c>
      <c r="G58">
        <v>5.8811861549142197E-2</v>
      </c>
    </row>
    <row r="59" spans="1:7" x14ac:dyDescent="0.3">
      <c r="A59">
        <v>44161</v>
      </c>
      <c r="B59">
        <v>0.39810000000000001</v>
      </c>
      <c r="C59">
        <v>0.28999999999999998</v>
      </c>
      <c r="D59">
        <v>0.36749999999999999</v>
      </c>
      <c r="E59">
        <v>0.31940000000000002</v>
      </c>
      <c r="F59">
        <v>0.13088435374149654</v>
      </c>
      <c r="G59">
        <v>8.6371619248331477E-2</v>
      </c>
    </row>
    <row r="60" spans="1:7" x14ac:dyDescent="0.3">
      <c r="A60">
        <v>44162</v>
      </c>
      <c r="B60">
        <v>0.3327</v>
      </c>
      <c r="C60">
        <v>0.29320000000000002</v>
      </c>
      <c r="D60">
        <v>0.31940000000000002</v>
      </c>
      <c r="E60">
        <v>0.3115</v>
      </c>
      <c r="F60">
        <v>2.4733876017532963E-2</v>
      </c>
      <c r="G60">
        <v>2.671946484179788E-3</v>
      </c>
    </row>
    <row r="61" spans="1:7" x14ac:dyDescent="0.3">
      <c r="A61">
        <v>44163</v>
      </c>
      <c r="B61">
        <v>0.32769999999999999</v>
      </c>
      <c r="C61">
        <v>0.3014</v>
      </c>
      <c r="D61">
        <v>0.3115</v>
      </c>
      <c r="E61">
        <v>0.318</v>
      </c>
      <c r="F61">
        <v>-2.0866773675762396E-2</v>
      </c>
      <c r="G61">
        <v>-3.6929244646608739E-2</v>
      </c>
    </row>
    <row r="62" spans="1:7" x14ac:dyDescent="0.3">
      <c r="A62">
        <v>44164</v>
      </c>
      <c r="B62">
        <v>0.32400000000000001</v>
      </c>
      <c r="C62">
        <v>0.3085</v>
      </c>
      <c r="D62">
        <v>0.318</v>
      </c>
      <c r="E62">
        <v>0.32190000000000002</v>
      </c>
      <c r="F62">
        <v>-1.2264150943396279E-2</v>
      </c>
      <c r="G62">
        <v>-5.0354095801037335E-2</v>
      </c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7B5DA-CA06-45B3-98D7-719FCD135246}">
  <sheetPr codeName="Sheet13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44104</v>
      </c>
      <c r="B2">
        <v>0.22270000000000001</v>
      </c>
      <c r="C2">
        <v>0.21060000000000001</v>
      </c>
      <c r="D2">
        <v>0.2213</v>
      </c>
      <c r="E2">
        <v>0.2157</v>
      </c>
      <c r="F2"/>
      <c r="G2"/>
    </row>
    <row r="3" spans="1:7" x14ac:dyDescent="0.3">
      <c r="A3">
        <v>44105</v>
      </c>
      <c r="B3">
        <v>0.2271</v>
      </c>
      <c r="C3">
        <v>0.20660000000000001</v>
      </c>
      <c r="D3">
        <v>0.2157</v>
      </c>
      <c r="E3">
        <v>0.21490000000000001</v>
      </c>
      <c r="F3">
        <v>3.7088548910523267E-3</v>
      </c>
      <c r="G3">
        <v>1.8370296259240804E-2</v>
      </c>
    </row>
    <row r="4" spans="1:7" x14ac:dyDescent="0.3">
      <c r="A4">
        <v>44106</v>
      </c>
      <c r="B4">
        <v>0.22189999999999999</v>
      </c>
      <c r="C4">
        <v>0.19</v>
      </c>
      <c r="D4">
        <v>0.21490000000000001</v>
      </c>
      <c r="E4">
        <v>0.19969999999999999</v>
      </c>
      <c r="F4">
        <v>7.0730572359236965E-2</v>
      </c>
      <c r="G4">
        <v>2.0894085671413598E-2</v>
      </c>
    </row>
    <row r="5" spans="1:7" x14ac:dyDescent="0.3">
      <c r="A5">
        <v>44107</v>
      </c>
      <c r="B5">
        <v>0.20860000000000001</v>
      </c>
      <c r="C5">
        <v>0.19570000000000001</v>
      </c>
      <c r="D5">
        <v>0.19969999999999999</v>
      </c>
      <c r="E5">
        <v>0.20130000000000001</v>
      </c>
      <c r="F5">
        <v>-8.0120180270406571E-3</v>
      </c>
      <c r="G5">
        <v>-1.4168811265651282E-3</v>
      </c>
    </row>
    <row r="6" spans="1:7" x14ac:dyDescent="0.3">
      <c r="A6">
        <v>44108</v>
      </c>
      <c r="B6">
        <v>0.20669999999999999</v>
      </c>
      <c r="C6">
        <v>0.1983</v>
      </c>
      <c r="D6">
        <v>0.20130000000000001</v>
      </c>
      <c r="E6">
        <v>0.19950000000000001</v>
      </c>
      <c r="F6">
        <v>8.94187779433675E-3</v>
      </c>
      <c r="G6">
        <v>-1.816239316239332E-2</v>
      </c>
    </row>
    <row r="7" spans="1:7" x14ac:dyDescent="0.3">
      <c r="A7">
        <v>44109</v>
      </c>
      <c r="B7">
        <v>0.2029</v>
      </c>
      <c r="C7">
        <v>0.1905</v>
      </c>
      <c r="D7">
        <v>0.19950000000000001</v>
      </c>
      <c r="E7">
        <v>0.1933</v>
      </c>
      <c r="F7">
        <v>3.1077694235589037E-2</v>
      </c>
      <c r="G7">
        <v>-3.2613936076684169E-3</v>
      </c>
    </row>
    <row r="8" spans="1:7" x14ac:dyDescent="0.3">
      <c r="A8">
        <v>44110</v>
      </c>
      <c r="B8">
        <v>0.19500000000000001</v>
      </c>
      <c r="C8">
        <v>0.1719</v>
      </c>
      <c r="D8">
        <v>0.1933</v>
      </c>
      <c r="E8">
        <v>0.1734</v>
      </c>
      <c r="F8">
        <v>0.10294878427315057</v>
      </c>
      <c r="G8">
        <v>3.6493668023518722E-2</v>
      </c>
    </row>
    <row r="9" spans="1:7" x14ac:dyDescent="0.3">
      <c r="A9">
        <v>44111</v>
      </c>
      <c r="B9">
        <v>0.1736</v>
      </c>
      <c r="C9">
        <v>0.15429999999999999</v>
      </c>
      <c r="D9">
        <v>0.1734</v>
      </c>
      <c r="E9">
        <v>0.1678</v>
      </c>
      <c r="F9">
        <v>3.2295271049596286E-2</v>
      </c>
      <c r="G9">
        <v>-3.1098723778788528E-3</v>
      </c>
    </row>
    <row r="10" spans="1:7" x14ac:dyDescent="0.3">
      <c r="A10">
        <v>44112</v>
      </c>
      <c r="B10">
        <v>0.19389999999999999</v>
      </c>
      <c r="C10">
        <v>0.16450000000000001</v>
      </c>
      <c r="D10">
        <v>0.1678</v>
      </c>
      <c r="E10">
        <v>0.185</v>
      </c>
      <c r="F10">
        <v>-0.102502979737783</v>
      </c>
      <c r="G10">
        <v>-2.7170892925038714E-2</v>
      </c>
    </row>
    <row r="11" spans="1:7" x14ac:dyDescent="0.3">
      <c r="A11">
        <v>44113</v>
      </c>
      <c r="B11">
        <v>0.2</v>
      </c>
      <c r="C11">
        <v>0.1784</v>
      </c>
      <c r="D11">
        <v>0.185</v>
      </c>
      <c r="E11">
        <v>0.19689999999999999</v>
      </c>
      <c r="F11">
        <v>-6.4324324324324333E-2</v>
      </c>
      <c r="G11">
        <v>-4.0461275626423765E-2</v>
      </c>
    </row>
    <row r="12" spans="1:7" x14ac:dyDescent="0.3">
      <c r="A12">
        <v>44114</v>
      </c>
      <c r="B12">
        <v>0.21229999999999999</v>
      </c>
      <c r="C12">
        <v>0.1948</v>
      </c>
      <c r="D12">
        <v>0.19689999999999999</v>
      </c>
      <c r="E12">
        <v>0.20910000000000001</v>
      </c>
      <c r="F12">
        <v>-6.1960385982732458E-2</v>
      </c>
      <c r="G12">
        <v>-1.4969486330423276E-2</v>
      </c>
    </row>
    <row r="13" spans="1:7" x14ac:dyDescent="0.3">
      <c r="A13">
        <v>44115</v>
      </c>
      <c r="B13">
        <v>0.21290000000000001</v>
      </c>
      <c r="C13">
        <v>0.19089999999999999</v>
      </c>
      <c r="D13">
        <v>0.20910000000000001</v>
      </c>
      <c r="E13">
        <v>0.19450000000000001</v>
      </c>
      <c r="F13">
        <v>6.9823051171688189E-2</v>
      </c>
      <c r="G13">
        <v>-9.4100517687663032E-3</v>
      </c>
    </row>
    <row r="14" spans="1:7" x14ac:dyDescent="0.3">
      <c r="A14">
        <v>44116</v>
      </c>
      <c r="B14">
        <v>0.20369999999999999</v>
      </c>
      <c r="C14">
        <v>0.1883</v>
      </c>
      <c r="D14">
        <v>0.19450000000000001</v>
      </c>
      <c r="E14">
        <v>0.19839999999999999</v>
      </c>
      <c r="F14">
        <v>-2.0051413881748026E-2</v>
      </c>
      <c r="G14">
        <v>-3.3496273739882954E-2</v>
      </c>
    </row>
    <row r="15" spans="1:7" x14ac:dyDescent="0.3">
      <c r="A15">
        <v>44117</v>
      </c>
      <c r="B15">
        <v>0.19839999999999999</v>
      </c>
      <c r="C15">
        <v>0.18659999999999999</v>
      </c>
      <c r="D15">
        <v>0.19839999999999999</v>
      </c>
      <c r="E15">
        <v>0.18890000000000001</v>
      </c>
      <c r="F15">
        <v>4.7883064516128893E-2</v>
      </c>
      <c r="G15">
        <v>1.421519216355227E-2</v>
      </c>
    </row>
    <row r="16" spans="1:7" x14ac:dyDescent="0.3">
      <c r="A16">
        <v>44118</v>
      </c>
      <c r="B16">
        <v>0.19270000000000001</v>
      </c>
      <c r="C16">
        <v>0.17749999999999999</v>
      </c>
      <c r="D16">
        <v>0.18890000000000001</v>
      </c>
      <c r="E16">
        <v>0.18029999999999999</v>
      </c>
      <c r="F16">
        <v>4.552673372154592E-2</v>
      </c>
      <c r="G16">
        <v>6.0302561547941336E-3</v>
      </c>
    </row>
    <row r="17" spans="1:7" x14ac:dyDescent="0.3">
      <c r="A17">
        <v>44119</v>
      </c>
      <c r="B17">
        <v>0.18729999999999999</v>
      </c>
      <c r="C17">
        <v>0.17660000000000001</v>
      </c>
      <c r="D17">
        <v>0.18029999999999999</v>
      </c>
      <c r="E17">
        <v>0.18390000000000001</v>
      </c>
      <c r="F17">
        <v>-1.9966722129783898E-2</v>
      </c>
      <c r="G17">
        <v>3.7192371607185359E-3</v>
      </c>
    </row>
    <row r="18" spans="1:7" x14ac:dyDescent="0.3">
      <c r="A18">
        <v>44120</v>
      </c>
      <c r="B18">
        <v>0.18429999999999999</v>
      </c>
      <c r="C18">
        <v>0.16689999999999999</v>
      </c>
      <c r="D18">
        <v>0.18390000000000001</v>
      </c>
      <c r="E18">
        <v>0.16930000000000001</v>
      </c>
      <c r="F18">
        <v>7.9390973355084271E-2</v>
      </c>
      <c r="G18">
        <v>3.2088959491660018E-2</v>
      </c>
    </row>
    <row r="19" spans="1:7" x14ac:dyDescent="0.3">
      <c r="A19">
        <v>44121</v>
      </c>
      <c r="B19">
        <v>0.18229999999999999</v>
      </c>
      <c r="C19">
        <v>0.16789999999999999</v>
      </c>
      <c r="D19">
        <v>0.16930000000000001</v>
      </c>
      <c r="E19">
        <v>0.17150000000000001</v>
      </c>
      <c r="F19">
        <v>-1.2994683992912037E-2</v>
      </c>
      <c r="G19">
        <v>-8.3976147491657827E-3</v>
      </c>
    </row>
    <row r="20" spans="1:7" x14ac:dyDescent="0.3">
      <c r="A20">
        <v>44122</v>
      </c>
      <c r="B20">
        <v>0.182</v>
      </c>
      <c r="C20">
        <v>0.17100000000000001</v>
      </c>
      <c r="D20">
        <v>0.17150000000000001</v>
      </c>
      <c r="E20">
        <v>0.17599999999999999</v>
      </c>
      <c r="F20">
        <v>-2.6239067055393361E-2</v>
      </c>
      <c r="G20">
        <v>-2.6556354265563575E-2</v>
      </c>
    </row>
    <row r="21" spans="1:7" x14ac:dyDescent="0.3">
      <c r="A21">
        <v>44123</v>
      </c>
      <c r="B21">
        <v>0.17799999999999999</v>
      </c>
      <c r="C21">
        <v>0.16800000000000001</v>
      </c>
      <c r="D21">
        <v>0.17599999999999999</v>
      </c>
      <c r="E21">
        <v>0.1714</v>
      </c>
      <c r="F21">
        <v>2.6136363636363624E-2</v>
      </c>
      <c r="G21">
        <v>-2.5631540006343378E-3</v>
      </c>
    </row>
    <row r="22" spans="1:7" x14ac:dyDescent="0.3">
      <c r="A22">
        <v>44124</v>
      </c>
      <c r="B22">
        <v>0.17530000000000001</v>
      </c>
      <c r="C22">
        <v>0.15659999999999999</v>
      </c>
      <c r="D22">
        <v>0.1714</v>
      </c>
      <c r="E22">
        <v>0.15840000000000001</v>
      </c>
      <c r="F22">
        <v>7.5845974329054711E-2</v>
      </c>
      <c r="G22">
        <v>2.8122611422998878E-2</v>
      </c>
    </row>
    <row r="23" spans="1:7" x14ac:dyDescent="0.3">
      <c r="A23">
        <v>44125</v>
      </c>
      <c r="B23">
        <v>0.17460000000000001</v>
      </c>
      <c r="C23">
        <v>0.15770000000000001</v>
      </c>
      <c r="D23">
        <v>0.15840000000000001</v>
      </c>
      <c r="E23">
        <v>0.16569999999999999</v>
      </c>
      <c r="F23">
        <v>-4.6085858585858341E-2</v>
      </c>
      <c r="G23">
        <v>-6.1615230243531993E-2</v>
      </c>
    </row>
    <row r="24" spans="1:7" x14ac:dyDescent="0.3">
      <c r="A24">
        <v>44126</v>
      </c>
      <c r="B24">
        <v>0.1749</v>
      </c>
      <c r="C24">
        <v>0.1656</v>
      </c>
      <c r="D24">
        <v>0.16569999999999999</v>
      </c>
      <c r="E24">
        <v>0.17030000000000001</v>
      </c>
      <c r="F24">
        <v>-2.7761013880507113E-2</v>
      </c>
      <c r="G24">
        <v>-5.8856588157155221E-2</v>
      </c>
    </row>
    <row r="25" spans="1:7" x14ac:dyDescent="0.3">
      <c r="A25">
        <v>44127</v>
      </c>
      <c r="B25">
        <v>0.1716</v>
      </c>
      <c r="C25">
        <v>0.16239999999999999</v>
      </c>
      <c r="D25">
        <v>0.17030000000000001</v>
      </c>
      <c r="E25">
        <v>0.16600000000000001</v>
      </c>
      <c r="F25">
        <v>2.524955960070463E-2</v>
      </c>
      <c r="G25">
        <v>1.189384800965021E-2</v>
      </c>
    </row>
    <row r="26" spans="1:7" x14ac:dyDescent="0.3">
      <c r="A26">
        <v>44128</v>
      </c>
      <c r="B26">
        <v>0.1686</v>
      </c>
      <c r="C26">
        <v>0.16320000000000001</v>
      </c>
      <c r="D26">
        <v>0.16600000000000001</v>
      </c>
      <c r="E26">
        <v>0.1666</v>
      </c>
      <c r="F26">
        <v>-3.6144578313253017E-3</v>
      </c>
      <c r="G26">
        <v>-7.275923529555417E-3</v>
      </c>
    </row>
    <row r="27" spans="1:7" x14ac:dyDescent="0.3">
      <c r="A27">
        <v>44129</v>
      </c>
      <c r="B27">
        <v>0.17080000000000001</v>
      </c>
      <c r="C27">
        <v>0.16420000000000001</v>
      </c>
      <c r="D27">
        <v>0.1666</v>
      </c>
      <c r="E27">
        <v>0.16420000000000001</v>
      </c>
      <c r="F27">
        <v>1.4405762304921854E-2</v>
      </c>
      <c r="G27">
        <v>1.5004241910071547E-2</v>
      </c>
    </row>
    <row r="28" spans="1:7" x14ac:dyDescent="0.3">
      <c r="A28">
        <v>44130</v>
      </c>
      <c r="B28">
        <v>0.16789999999999999</v>
      </c>
      <c r="C28">
        <v>0.15049999999999999</v>
      </c>
      <c r="D28">
        <v>0.16420000000000001</v>
      </c>
      <c r="E28">
        <v>0.157</v>
      </c>
      <c r="F28">
        <v>4.384896467722299E-2</v>
      </c>
      <c r="G28">
        <v>3.2606555763362577E-2</v>
      </c>
    </row>
    <row r="29" spans="1:7" x14ac:dyDescent="0.3">
      <c r="A29">
        <v>44131</v>
      </c>
      <c r="B29">
        <v>0.16139999999999999</v>
      </c>
      <c r="C29">
        <v>0.1537</v>
      </c>
      <c r="D29">
        <v>0.157</v>
      </c>
      <c r="E29">
        <v>0.15540000000000001</v>
      </c>
      <c r="F29">
        <v>1.0191082802547657E-2</v>
      </c>
      <c r="G29">
        <v>-2.7040777390552329E-2</v>
      </c>
    </row>
    <row r="30" spans="1:7" x14ac:dyDescent="0.3">
      <c r="A30">
        <v>44132</v>
      </c>
      <c r="B30">
        <v>0.15909999999999999</v>
      </c>
      <c r="C30">
        <v>0.14030000000000001</v>
      </c>
      <c r="D30">
        <v>0.15540000000000001</v>
      </c>
      <c r="E30">
        <v>0.1452</v>
      </c>
      <c r="F30">
        <v>6.5637065637065728E-2</v>
      </c>
      <c r="G30">
        <v>3.7078317729231758E-2</v>
      </c>
    </row>
    <row r="31" spans="1:7" x14ac:dyDescent="0.3">
      <c r="A31">
        <v>44133</v>
      </c>
      <c r="B31">
        <v>0.1464</v>
      </c>
      <c r="C31">
        <v>0.1303</v>
      </c>
      <c r="D31">
        <v>0.1452</v>
      </c>
      <c r="E31">
        <v>0.13339999999999999</v>
      </c>
      <c r="F31">
        <v>8.1267217630853983E-2</v>
      </c>
      <c r="G31">
        <v>3.163824369164181E-3</v>
      </c>
    </row>
    <row r="32" spans="1:7" x14ac:dyDescent="0.3">
      <c r="A32">
        <v>44134</v>
      </c>
      <c r="B32">
        <v>0.1363</v>
      </c>
      <c r="C32">
        <v>0.12</v>
      </c>
      <c r="D32">
        <v>0.13339999999999999</v>
      </c>
      <c r="E32">
        <v>0.12809999999999999</v>
      </c>
      <c r="F32">
        <v>3.9730134932533745E-2</v>
      </c>
      <c r="G32">
        <v>1.2334210662125256E-2</v>
      </c>
    </row>
    <row r="33" spans="1:7" x14ac:dyDescent="0.3">
      <c r="A33">
        <v>44135</v>
      </c>
      <c r="B33">
        <v>0.1449</v>
      </c>
      <c r="C33">
        <v>0.12670000000000001</v>
      </c>
      <c r="D33">
        <v>0.12809999999999999</v>
      </c>
      <c r="E33">
        <v>0.14269999999999999</v>
      </c>
      <c r="F33">
        <v>-0.11397345823575344</v>
      </c>
      <c r="G33">
        <v>-1.0476538823283477E-2</v>
      </c>
    </row>
    <row r="34" spans="1:7" x14ac:dyDescent="0.3">
      <c r="A34">
        <v>44136</v>
      </c>
      <c r="B34">
        <v>0.1638</v>
      </c>
      <c r="C34">
        <v>0.14169999999999999</v>
      </c>
      <c r="D34">
        <v>0.14269999999999999</v>
      </c>
      <c r="E34">
        <v>0.14899999999999999</v>
      </c>
      <c r="F34">
        <v>-4.414856341976181E-2</v>
      </c>
      <c r="G34">
        <v>-2.5803449078263707E-2</v>
      </c>
    </row>
    <row r="35" spans="1:7" x14ac:dyDescent="0.3">
      <c r="A35">
        <v>44137</v>
      </c>
      <c r="B35">
        <v>0.1517</v>
      </c>
      <c r="C35">
        <v>0.13650000000000001</v>
      </c>
      <c r="D35">
        <v>0.14899999999999999</v>
      </c>
      <c r="E35">
        <v>0.1394</v>
      </c>
      <c r="F35">
        <v>6.4429530201342233E-2</v>
      </c>
      <c r="G35">
        <v>3.3119092627599156E-2</v>
      </c>
    </row>
    <row r="36" spans="1:7" x14ac:dyDescent="0.3">
      <c r="A36">
        <v>44138</v>
      </c>
      <c r="B36">
        <v>0.1394</v>
      </c>
      <c r="C36">
        <v>0.1295</v>
      </c>
      <c r="D36">
        <v>0.1394</v>
      </c>
      <c r="E36">
        <v>0.13139999999999999</v>
      </c>
      <c r="F36">
        <v>5.7388809182209566E-2</v>
      </c>
      <c r="G36">
        <v>-1.191314095044449E-2</v>
      </c>
    </row>
    <row r="37" spans="1:7" x14ac:dyDescent="0.3">
      <c r="A37">
        <v>44139</v>
      </c>
      <c r="B37">
        <v>0.13139999999999999</v>
      </c>
      <c r="C37">
        <v>0.1181</v>
      </c>
      <c r="D37">
        <v>0.13139999999999999</v>
      </c>
      <c r="E37">
        <v>0.1244</v>
      </c>
      <c r="F37">
        <v>5.3272450532724447E-2</v>
      </c>
      <c r="G37">
        <v>-3.730228244628786E-2</v>
      </c>
    </row>
    <row r="38" spans="1:7" x14ac:dyDescent="0.3">
      <c r="A38">
        <v>44140</v>
      </c>
      <c r="B38">
        <v>0.1288</v>
      </c>
      <c r="C38">
        <v>0.115</v>
      </c>
      <c r="D38">
        <v>0.1244</v>
      </c>
      <c r="E38">
        <v>0.1207</v>
      </c>
      <c r="F38">
        <v>2.9742765273311877E-2</v>
      </c>
      <c r="G38">
        <v>-3.5339989072666667E-2</v>
      </c>
    </row>
    <row r="39" spans="1:7" x14ac:dyDescent="0.3">
      <c r="A39">
        <v>44141</v>
      </c>
      <c r="B39">
        <v>0.1401</v>
      </c>
      <c r="C39">
        <v>0.1203</v>
      </c>
      <c r="D39">
        <v>0.1207</v>
      </c>
      <c r="E39">
        <v>0.1381</v>
      </c>
      <c r="F39">
        <v>-0.14415907207953604</v>
      </c>
      <c r="G39">
        <v>-9.4581304420830348E-2</v>
      </c>
    </row>
    <row r="40" spans="1:7" x14ac:dyDescent="0.3">
      <c r="A40">
        <v>44142</v>
      </c>
      <c r="B40">
        <v>0.16</v>
      </c>
      <c r="C40">
        <v>0.13420000000000001</v>
      </c>
      <c r="D40">
        <v>0.1381</v>
      </c>
      <c r="E40">
        <v>0.14410000000000001</v>
      </c>
      <c r="F40">
        <v>-4.344677769732086E-2</v>
      </c>
      <c r="G40">
        <v>4.4924614305750343E-2</v>
      </c>
    </row>
    <row r="41" spans="1:7" x14ac:dyDescent="0.3">
      <c r="A41">
        <v>44143</v>
      </c>
      <c r="B41">
        <v>0.161</v>
      </c>
      <c r="C41">
        <v>0.13900000000000001</v>
      </c>
      <c r="D41">
        <v>0.14410000000000001</v>
      </c>
      <c r="E41">
        <v>0.15609999999999999</v>
      </c>
      <c r="F41">
        <v>-8.3275503122831163E-2</v>
      </c>
      <c r="G41">
        <v>-4.3412417970721817E-2</v>
      </c>
    </row>
    <row r="42" spans="1:7" x14ac:dyDescent="0.3">
      <c r="A42">
        <v>44144</v>
      </c>
      <c r="B42">
        <v>0.17319999999999999</v>
      </c>
      <c r="C42">
        <v>0.14779999999999999</v>
      </c>
      <c r="D42">
        <v>0.15609999999999999</v>
      </c>
      <c r="E42">
        <v>0.15640000000000001</v>
      </c>
      <c r="F42">
        <v>-1.9218449711724261E-3</v>
      </c>
      <c r="G42">
        <v>2.2628315081145267E-2</v>
      </c>
    </row>
    <row r="43" spans="1:7" x14ac:dyDescent="0.3">
      <c r="A43">
        <v>44145</v>
      </c>
      <c r="B43">
        <v>0.28799999999999998</v>
      </c>
      <c r="C43">
        <v>0.15490000000000001</v>
      </c>
      <c r="D43">
        <v>0.15640000000000001</v>
      </c>
      <c r="E43">
        <v>0.2165</v>
      </c>
      <c r="F43">
        <v>-0.38427109974424534</v>
      </c>
      <c r="G43">
        <v>-1.4422319721003607E-2</v>
      </c>
    </row>
    <row r="44" spans="1:7" x14ac:dyDescent="0.3">
      <c r="A44">
        <v>44146</v>
      </c>
      <c r="B44">
        <v>0.22850000000000001</v>
      </c>
      <c r="C44">
        <v>0.1789</v>
      </c>
      <c r="D44">
        <v>0.2165</v>
      </c>
      <c r="E44">
        <v>0.1857</v>
      </c>
      <c r="F44">
        <v>0.14226327944572748</v>
      </c>
      <c r="G44">
        <v>-2.8944683493767442E-2</v>
      </c>
    </row>
    <row r="45" spans="1:7" x14ac:dyDescent="0.3">
      <c r="A45">
        <v>44147</v>
      </c>
      <c r="B45">
        <v>0.189</v>
      </c>
      <c r="C45">
        <v>0.1714</v>
      </c>
      <c r="D45">
        <v>0.1857</v>
      </c>
      <c r="E45">
        <v>0.17899999999999999</v>
      </c>
      <c r="F45">
        <v>3.6079698438341468E-2</v>
      </c>
      <c r="G45">
        <v>2.4358172921472576E-3</v>
      </c>
    </row>
    <row r="46" spans="1:7" x14ac:dyDescent="0.3">
      <c r="A46">
        <v>44148</v>
      </c>
      <c r="B46">
        <v>0.19600000000000001</v>
      </c>
      <c r="C46">
        <v>0.17660000000000001</v>
      </c>
      <c r="D46">
        <v>0.17899999999999999</v>
      </c>
      <c r="E46">
        <v>0.1905</v>
      </c>
      <c r="F46">
        <v>-6.4245810055866048E-2</v>
      </c>
      <c r="G46">
        <v>-3.0446432430096371E-2</v>
      </c>
    </row>
    <row r="47" spans="1:7" x14ac:dyDescent="0.3">
      <c r="A47">
        <v>44149</v>
      </c>
      <c r="B47">
        <v>0.19339999999999999</v>
      </c>
      <c r="C47">
        <v>0.1734</v>
      </c>
      <c r="D47">
        <v>0.1905</v>
      </c>
      <c r="E47">
        <v>0.1787</v>
      </c>
      <c r="F47">
        <v>6.194225721784774E-2</v>
      </c>
      <c r="G47">
        <v>3.3216599911925715E-2</v>
      </c>
    </row>
    <row r="48" spans="1:7" x14ac:dyDescent="0.3">
      <c r="A48">
        <v>44150</v>
      </c>
      <c r="B48">
        <v>0.18820000000000001</v>
      </c>
      <c r="C48">
        <v>0.1711</v>
      </c>
      <c r="D48">
        <v>0.1787</v>
      </c>
      <c r="E48">
        <v>0.1769</v>
      </c>
      <c r="F48">
        <v>1.0072747621712397E-2</v>
      </c>
      <c r="G48">
        <v>2.7156584170227482E-2</v>
      </c>
    </row>
    <row r="49" spans="1:7" x14ac:dyDescent="0.3">
      <c r="A49">
        <v>44151</v>
      </c>
      <c r="B49">
        <v>0.19189999999999999</v>
      </c>
      <c r="C49">
        <v>0.17280000000000001</v>
      </c>
      <c r="D49">
        <v>0.1769</v>
      </c>
      <c r="E49">
        <v>0.18479999999999999</v>
      </c>
      <c r="F49">
        <v>-4.4657998869417792E-2</v>
      </c>
      <c r="G49">
        <v>-2.7870058638603368E-2</v>
      </c>
    </row>
    <row r="50" spans="1:7" x14ac:dyDescent="0.3">
      <c r="A50">
        <v>44152</v>
      </c>
      <c r="B50">
        <v>0.1895</v>
      </c>
      <c r="C50">
        <v>0.1802</v>
      </c>
      <c r="D50">
        <v>0.18479999999999999</v>
      </c>
      <c r="E50">
        <v>0.18529999999999999</v>
      </c>
      <c r="F50">
        <v>-2.7056277056276556E-3</v>
      </c>
      <c r="G50">
        <v>-4.7070562460684195E-2</v>
      </c>
    </row>
    <row r="51" spans="1:7" x14ac:dyDescent="0.3">
      <c r="A51">
        <v>44153</v>
      </c>
      <c r="B51">
        <v>0.1898</v>
      </c>
      <c r="C51">
        <v>0.17030000000000001</v>
      </c>
      <c r="D51">
        <v>0.18529999999999999</v>
      </c>
      <c r="E51">
        <v>0.1772</v>
      </c>
      <c r="F51">
        <v>4.3712898003237965E-2</v>
      </c>
      <c r="G51">
        <v>8.1829669988191522E-3</v>
      </c>
    </row>
    <row r="52" spans="1:7" x14ac:dyDescent="0.3">
      <c r="A52">
        <v>44154</v>
      </c>
      <c r="B52">
        <v>0.18909999999999999</v>
      </c>
      <c r="C52">
        <v>0.17299999999999999</v>
      </c>
      <c r="D52">
        <v>0.1772</v>
      </c>
      <c r="E52">
        <v>0.17649999999999999</v>
      </c>
      <c r="F52">
        <v>3.950338600451464E-3</v>
      </c>
      <c r="G52">
        <v>1.4495780766981325E-2</v>
      </c>
    </row>
    <row r="53" spans="1:7" x14ac:dyDescent="0.3">
      <c r="A53">
        <v>44155</v>
      </c>
      <c r="B53">
        <v>0.2001</v>
      </c>
      <c r="C53">
        <v>0.17449999999999999</v>
      </c>
      <c r="D53">
        <v>0.17649999999999999</v>
      </c>
      <c r="E53">
        <v>0.18729999999999999</v>
      </c>
      <c r="F53">
        <v>-6.1189801699716773E-2</v>
      </c>
      <c r="G53">
        <v>-8.1832054597092085E-2</v>
      </c>
    </row>
    <row r="54" spans="1:7" x14ac:dyDescent="0.3">
      <c r="A54">
        <v>44156</v>
      </c>
      <c r="B54">
        <v>0.21199999999999999</v>
      </c>
      <c r="C54">
        <v>0.18090000000000001</v>
      </c>
      <c r="D54">
        <v>0.18729999999999999</v>
      </c>
      <c r="E54">
        <v>0.1988</v>
      </c>
      <c r="F54">
        <v>-6.1398825413774727E-2</v>
      </c>
      <c r="G54">
        <v>-8.195051231314765E-2</v>
      </c>
    </row>
    <row r="55" spans="1:7" x14ac:dyDescent="0.3">
      <c r="A55">
        <v>44157</v>
      </c>
      <c r="B55">
        <v>0.2019</v>
      </c>
      <c r="C55">
        <v>0.17910000000000001</v>
      </c>
      <c r="D55">
        <v>0.1988</v>
      </c>
      <c r="E55">
        <v>0.18870000000000001</v>
      </c>
      <c r="F55">
        <v>5.0804828973843086E-2</v>
      </c>
      <c r="G55">
        <v>-1.4033245210589129E-2</v>
      </c>
    </row>
    <row r="56" spans="1:7" x14ac:dyDescent="0.3">
      <c r="A56">
        <v>44158</v>
      </c>
      <c r="B56">
        <v>0.2029</v>
      </c>
      <c r="C56">
        <v>0.18529999999999999</v>
      </c>
      <c r="D56">
        <v>0.18870000000000001</v>
      </c>
      <c r="E56">
        <v>0.19769999999999999</v>
      </c>
      <c r="F56">
        <v>-4.7694753577106397E-2</v>
      </c>
      <c r="G56">
        <v>-8.7712719415724782E-2</v>
      </c>
    </row>
    <row r="57" spans="1:7" x14ac:dyDescent="0.3">
      <c r="A57">
        <v>44159</v>
      </c>
      <c r="B57">
        <v>0.24729999999999999</v>
      </c>
      <c r="C57">
        <v>0.19359999999999999</v>
      </c>
      <c r="D57">
        <v>0.19769999999999999</v>
      </c>
      <c r="E57">
        <v>0.2248</v>
      </c>
      <c r="F57">
        <v>-0.13707637835103692</v>
      </c>
      <c r="G57">
        <v>6.8129955838654999E-3</v>
      </c>
    </row>
    <row r="58" spans="1:7" x14ac:dyDescent="0.3">
      <c r="A58">
        <v>44160</v>
      </c>
      <c r="B58">
        <v>0.2394</v>
      </c>
      <c r="C58">
        <v>0.20100000000000001</v>
      </c>
      <c r="D58">
        <v>0.2248</v>
      </c>
      <c r="E58">
        <v>0.20960000000000001</v>
      </c>
      <c r="F58">
        <v>6.7615658362989328E-2</v>
      </c>
      <c r="G58">
        <v>5.8811861549142197E-2</v>
      </c>
    </row>
    <row r="59" spans="1:7" x14ac:dyDescent="0.3">
      <c r="A59">
        <v>44161</v>
      </c>
      <c r="B59">
        <v>0.2223</v>
      </c>
      <c r="C59">
        <v>0.16259999999999999</v>
      </c>
      <c r="D59">
        <v>0.20960000000000001</v>
      </c>
      <c r="E59">
        <v>0.19070000000000001</v>
      </c>
      <c r="F59">
        <v>9.0171755725190872E-2</v>
      </c>
      <c r="G59">
        <v>8.6371619248331477E-2</v>
      </c>
    </row>
    <row r="60" spans="1:7" x14ac:dyDescent="0.3">
      <c r="A60">
        <v>44162</v>
      </c>
      <c r="B60">
        <v>0.1963</v>
      </c>
      <c r="C60">
        <v>0.17169999999999999</v>
      </c>
      <c r="D60">
        <v>0.19070000000000001</v>
      </c>
      <c r="E60">
        <v>0.187</v>
      </c>
      <c r="F60">
        <v>1.9402202412165725E-2</v>
      </c>
      <c r="G60">
        <v>2.671946484179788E-3</v>
      </c>
    </row>
    <row r="61" spans="1:7" x14ac:dyDescent="0.3">
      <c r="A61">
        <v>44163</v>
      </c>
      <c r="B61">
        <v>0.21390000000000001</v>
      </c>
      <c r="C61">
        <v>0.18279999999999999</v>
      </c>
      <c r="D61">
        <v>0.187</v>
      </c>
      <c r="E61">
        <v>0.19070000000000001</v>
      </c>
      <c r="F61">
        <v>-1.9786096256684482E-2</v>
      </c>
      <c r="G61">
        <v>-3.6929244646608739E-2</v>
      </c>
    </row>
    <row r="62" spans="1:7" x14ac:dyDescent="0.3">
      <c r="A62">
        <v>44164</v>
      </c>
      <c r="B62">
        <v>0.20130000000000001</v>
      </c>
      <c r="C62">
        <v>0.188</v>
      </c>
      <c r="D62">
        <v>0.19070000000000001</v>
      </c>
      <c r="E62">
        <v>0.19750000000000001</v>
      </c>
      <c r="F62">
        <v>-3.5658101730466685E-2</v>
      </c>
      <c r="G62">
        <v>-5.0354095801037335E-2</v>
      </c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C15C-AF6C-499F-B11F-F0CBAA8A8271}">
  <sheetPr codeName="Sheet14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44104</v>
      </c>
      <c r="B2">
        <v>0.99390000000000001</v>
      </c>
      <c r="C2">
        <v>0.95669999999999999</v>
      </c>
      <c r="D2">
        <v>0.9889</v>
      </c>
      <c r="E2">
        <v>0.98019999999999996</v>
      </c>
      <c r="F2"/>
      <c r="G2"/>
    </row>
    <row r="3" spans="1:7" x14ac:dyDescent="0.3">
      <c r="A3">
        <v>44105</v>
      </c>
      <c r="B3">
        <v>1.0429999999999999</v>
      </c>
      <c r="C3">
        <v>0.92949999999999999</v>
      </c>
      <c r="D3">
        <v>0.98019999999999996</v>
      </c>
      <c r="E3">
        <v>0.95320000000000005</v>
      </c>
      <c r="F3">
        <v>2.754539889818397E-2</v>
      </c>
      <c r="G3">
        <v>1.8370296259240804E-2</v>
      </c>
    </row>
    <row r="4" spans="1:7" x14ac:dyDescent="0.3">
      <c r="A4">
        <v>44106</v>
      </c>
      <c r="B4">
        <v>1.01</v>
      </c>
      <c r="C4">
        <v>0.86370000000000002</v>
      </c>
      <c r="D4">
        <v>0.95320000000000005</v>
      </c>
      <c r="E4">
        <v>0.92549999999999999</v>
      </c>
      <c r="F4">
        <v>2.9060008392782222E-2</v>
      </c>
      <c r="G4">
        <v>2.0894085671413598E-2</v>
      </c>
    </row>
    <row r="5" spans="1:7" x14ac:dyDescent="0.3">
      <c r="A5">
        <v>44107</v>
      </c>
      <c r="B5">
        <v>0.9577</v>
      </c>
      <c r="C5">
        <v>0.90810000000000002</v>
      </c>
      <c r="D5">
        <v>0.92549999999999999</v>
      </c>
      <c r="E5">
        <v>0.91169999999999995</v>
      </c>
      <c r="F5">
        <v>1.4910858995137777E-2</v>
      </c>
      <c r="G5">
        <v>-1.4168811265651282E-3</v>
      </c>
    </row>
    <row r="6" spans="1:7" x14ac:dyDescent="0.3">
      <c r="A6">
        <v>44108</v>
      </c>
      <c r="B6">
        <v>0.94989999999999997</v>
      </c>
      <c r="C6">
        <v>0.90129999999999999</v>
      </c>
      <c r="D6">
        <v>0.91169999999999995</v>
      </c>
      <c r="E6">
        <v>0.92459999999999998</v>
      </c>
      <c r="F6">
        <v>-1.414939124712089E-2</v>
      </c>
      <c r="G6">
        <v>-1.816239316239332E-2</v>
      </c>
    </row>
    <row r="7" spans="1:7" x14ac:dyDescent="0.3">
      <c r="A7">
        <v>44109</v>
      </c>
      <c r="B7">
        <v>0.94340000000000002</v>
      </c>
      <c r="C7">
        <v>0.91100000000000003</v>
      </c>
      <c r="D7">
        <v>0.92459999999999998</v>
      </c>
      <c r="E7">
        <v>0.92249999999999999</v>
      </c>
      <c r="F7">
        <v>2.271252433484694E-3</v>
      </c>
      <c r="G7">
        <v>-3.2613936076684169E-3</v>
      </c>
    </row>
    <row r="8" spans="1:7" x14ac:dyDescent="0.3">
      <c r="A8">
        <v>44110</v>
      </c>
      <c r="B8">
        <v>0.93059999999999998</v>
      </c>
      <c r="C8">
        <v>0.85150000000000003</v>
      </c>
      <c r="D8">
        <v>0.92249999999999999</v>
      </c>
      <c r="E8">
        <v>0.85880000000000001</v>
      </c>
      <c r="F8">
        <v>6.9051490514905112E-2</v>
      </c>
      <c r="G8">
        <v>3.6493668023518722E-2</v>
      </c>
    </row>
    <row r="9" spans="1:7" x14ac:dyDescent="0.3">
      <c r="A9">
        <v>44111</v>
      </c>
      <c r="B9">
        <v>0.91769999999999996</v>
      </c>
      <c r="C9">
        <v>0.82709999999999995</v>
      </c>
      <c r="D9">
        <v>0.85880000000000001</v>
      </c>
      <c r="E9">
        <v>0.91549999999999998</v>
      </c>
      <c r="F9">
        <v>-6.602235677689805E-2</v>
      </c>
      <c r="G9">
        <v>-3.1098723778788528E-3</v>
      </c>
    </row>
    <row r="10" spans="1:7" x14ac:dyDescent="0.3">
      <c r="A10">
        <v>44112</v>
      </c>
      <c r="B10">
        <v>0.94689999999999996</v>
      </c>
      <c r="C10">
        <v>0.87990000000000002</v>
      </c>
      <c r="D10">
        <v>0.91549999999999998</v>
      </c>
      <c r="E10">
        <v>0.92510000000000003</v>
      </c>
      <c r="F10">
        <v>-1.0486073184052591E-2</v>
      </c>
      <c r="G10">
        <v>-2.7170892925038714E-2</v>
      </c>
    </row>
    <row r="11" spans="1:7" x14ac:dyDescent="0.3">
      <c r="A11">
        <v>44113</v>
      </c>
      <c r="B11">
        <v>0.99750000000000005</v>
      </c>
      <c r="C11">
        <v>0.9012</v>
      </c>
      <c r="D11">
        <v>0.92510000000000003</v>
      </c>
      <c r="E11">
        <v>0.96150000000000002</v>
      </c>
      <c r="F11">
        <v>-3.9347097611069026E-2</v>
      </c>
      <c r="G11">
        <v>-4.0461275626423765E-2</v>
      </c>
    </row>
    <row r="12" spans="1:7" x14ac:dyDescent="0.3">
      <c r="A12">
        <v>44114</v>
      </c>
      <c r="B12">
        <v>0.99390000000000001</v>
      </c>
      <c r="C12">
        <v>0.95479999999999998</v>
      </c>
      <c r="D12">
        <v>0.96150000000000002</v>
      </c>
      <c r="E12">
        <v>0.97130000000000005</v>
      </c>
      <c r="F12">
        <v>-1.0192407696307804E-2</v>
      </c>
      <c r="G12">
        <v>-1.4969486330423276E-2</v>
      </c>
    </row>
    <row r="13" spans="1:7" x14ac:dyDescent="0.3">
      <c r="A13">
        <v>44115</v>
      </c>
      <c r="B13">
        <v>0.97860000000000003</v>
      </c>
      <c r="C13">
        <v>0.92379999999999995</v>
      </c>
      <c r="D13">
        <v>0.97130000000000005</v>
      </c>
      <c r="E13">
        <v>0.95760000000000001</v>
      </c>
      <c r="F13">
        <v>1.41048079892927E-2</v>
      </c>
      <c r="G13">
        <v>-9.4100517687663032E-3</v>
      </c>
    </row>
    <row r="14" spans="1:7" x14ac:dyDescent="0.3">
      <c r="A14">
        <v>44116</v>
      </c>
      <c r="B14">
        <v>1.06</v>
      </c>
      <c r="C14">
        <v>0.95</v>
      </c>
      <c r="D14">
        <v>0.95760000000000001</v>
      </c>
      <c r="E14">
        <v>1.0089999999999999</v>
      </c>
      <c r="F14">
        <v>-5.3675856307435099E-2</v>
      </c>
      <c r="G14">
        <v>-3.3496273739882954E-2</v>
      </c>
    </row>
    <row r="15" spans="1:7" x14ac:dyDescent="0.3">
      <c r="A15">
        <v>44117</v>
      </c>
      <c r="B15">
        <v>1.04</v>
      </c>
      <c r="C15">
        <v>0.97009999999999996</v>
      </c>
      <c r="D15">
        <v>1.0089999999999999</v>
      </c>
      <c r="E15">
        <v>0.99150000000000005</v>
      </c>
      <c r="F15">
        <v>1.7343904856293224E-2</v>
      </c>
      <c r="G15">
        <v>1.421519216355227E-2</v>
      </c>
    </row>
    <row r="16" spans="1:7" x14ac:dyDescent="0.3">
      <c r="A16">
        <v>44118</v>
      </c>
      <c r="B16">
        <v>0.99529999999999996</v>
      </c>
      <c r="C16">
        <v>0.92989999999999995</v>
      </c>
      <c r="D16">
        <v>0.99150000000000005</v>
      </c>
      <c r="E16">
        <v>0.94289999999999996</v>
      </c>
      <c r="F16">
        <v>4.9016641452344967E-2</v>
      </c>
      <c r="G16">
        <v>6.0302561547941336E-3</v>
      </c>
    </row>
    <row r="17" spans="1:7" x14ac:dyDescent="0.3">
      <c r="A17">
        <v>44119</v>
      </c>
      <c r="B17">
        <v>0.94540000000000002</v>
      </c>
      <c r="C17">
        <v>0.90810000000000002</v>
      </c>
      <c r="D17">
        <v>0.94289999999999996</v>
      </c>
      <c r="E17">
        <v>0.93049999999999999</v>
      </c>
      <c r="F17">
        <v>1.3150917382543148E-2</v>
      </c>
      <c r="G17">
        <v>3.7192371607185359E-3</v>
      </c>
    </row>
    <row r="18" spans="1:7" x14ac:dyDescent="0.3">
      <c r="A18">
        <v>44120</v>
      </c>
      <c r="B18">
        <v>0.9405</v>
      </c>
      <c r="C18">
        <v>0.89200000000000002</v>
      </c>
      <c r="D18">
        <v>0.93049999999999999</v>
      </c>
      <c r="E18">
        <v>0.89859999999999995</v>
      </c>
      <c r="F18">
        <v>3.4282643739924845E-2</v>
      </c>
      <c r="G18">
        <v>3.2088959491660018E-2</v>
      </c>
    </row>
    <row r="19" spans="1:7" x14ac:dyDescent="0.3">
      <c r="A19">
        <v>44121</v>
      </c>
      <c r="B19">
        <v>0.92889999999999995</v>
      </c>
      <c r="C19">
        <v>0.88539999999999996</v>
      </c>
      <c r="D19">
        <v>0.89859999999999995</v>
      </c>
      <c r="E19">
        <v>0.92</v>
      </c>
      <c r="F19">
        <v>-2.3814823058090351E-2</v>
      </c>
      <c r="G19">
        <v>-8.3976147491657827E-3</v>
      </c>
    </row>
    <row r="20" spans="1:7" x14ac:dyDescent="0.3">
      <c r="A20">
        <v>44122</v>
      </c>
      <c r="B20">
        <v>0.93630000000000002</v>
      </c>
      <c r="C20">
        <v>0.91200000000000003</v>
      </c>
      <c r="D20">
        <v>0.92</v>
      </c>
      <c r="E20">
        <v>0.93630000000000002</v>
      </c>
      <c r="F20">
        <v>-1.7717391304347796E-2</v>
      </c>
      <c r="G20">
        <v>-2.6556354265563575E-2</v>
      </c>
    </row>
    <row r="21" spans="1:7" x14ac:dyDescent="0.3">
      <c r="A21">
        <v>44123</v>
      </c>
      <c r="B21">
        <v>0.93630000000000002</v>
      </c>
      <c r="C21">
        <v>0.90380000000000005</v>
      </c>
      <c r="D21">
        <v>0.93630000000000002</v>
      </c>
      <c r="E21">
        <v>0.90990000000000004</v>
      </c>
      <c r="F21">
        <v>2.8196090996475465E-2</v>
      </c>
      <c r="G21">
        <v>-2.5631540006343378E-3</v>
      </c>
    </row>
    <row r="22" spans="1:7" x14ac:dyDescent="0.3">
      <c r="A22">
        <v>44124</v>
      </c>
      <c r="B22">
        <v>0.91210000000000002</v>
      </c>
      <c r="C22">
        <v>0.86040000000000005</v>
      </c>
      <c r="D22">
        <v>0.90990000000000004</v>
      </c>
      <c r="E22">
        <v>0.86460000000000004</v>
      </c>
      <c r="F22">
        <v>4.9785690735245636E-2</v>
      </c>
      <c r="G22">
        <v>2.8122611422998878E-2</v>
      </c>
    </row>
    <row r="23" spans="1:7" x14ac:dyDescent="0.3">
      <c r="A23">
        <v>44125</v>
      </c>
      <c r="B23">
        <v>0.94189999999999996</v>
      </c>
      <c r="C23">
        <v>0.86280000000000001</v>
      </c>
      <c r="D23">
        <v>0.86460000000000004</v>
      </c>
      <c r="E23">
        <v>0.93369999999999997</v>
      </c>
      <c r="F23">
        <v>-7.9921350913717326E-2</v>
      </c>
      <c r="G23">
        <v>-6.1615230243531993E-2</v>
      </c>
    </row>
    <row r="24" spans="1:7" x14ac:dyDescent="0.3">
      <c r="A24">
        <v>44126</v>
      </c>
      <c r="B24">
        <v>0.98550000000000004</v>
      </c>
      <c r="C24">
        <v>0.9274</v>
      </c>
      <c r="D24">
        <v>0.93369999999999997</v>
      </c>
      <c r="E24">
        <v>0.9446</v>
      </c>
      <c r="F24">
        <v>-1.167398522009222E-2</v>
      </c>
      <c r="G24">
        <v>-5.8856588157155221E-2</v>
      </c>
    </row>
    <row r="25" spans="1:7" x14ac:dyDescent="0.3">
      <c r="A25">
        <v>44127</v>
      </c>
      <c r="B25">
        <v>0.95</v>
      </c>
      <c r="C25">
        <v>0.91310000000000002</v>
      </c>
      <c r="D25">
        <v>0.9446</v>
      </c>
      <c r="E25">
        <v>0.93469999999999998</v>
      </c>
      <c r="F25">
        <v>1.048062672030492E-2</v>
      </c>
      <c r="G25">
        <v>1.189384800965021E-2</v>
      </c>
    </row>
    <row r="26" spans="1:7" x14ac:dyDescent="0.3">
      <c r="A26">
        <v>44128</v>
      </c>
      <c r="B26">
        <v>0.94979999999999998</v>
      </c>
      <c r="C26">
        <v>0.91579999999999995</v>
      </c>
      <c r="D26">
        <v>0.93469999999999998</v>
      </c>
      <c r="E26">
        <v>0.93</v>
      </c>
      <c r="F26">
        <v>5.0283513426767623E-3</v>
      </c>
      <c r="G26">
        <v>-7.275923529555417E-3</v>
      </c>
    </row>
    <row r="27" spans="1:7" x14ac:dyDescent="0.3">
      <c r="A27">
        <v>44129</v>
      </c>
      <c r="B27">
        <v>0.94410000000000005</v>
      </c>
      <c r="C27">
        <v>0.9022</v>
      </c>
      <c r="D27">
        <v>0.93</v>
      </c>
      <c r="E27">
        <v>0.90410000000000001</v>
      </c>
      <c r="F27">
        <v>2.7849462365591382E-2</v>
      </c>
      <c r="G27">
        <v>1.5004241910071547E-2</v>
      </c>
    </row>
    <row r="28" spans="1:7" x14ac:dyDescent="0.3">
      <c r="A28">
        <v>44130</v>
      </c>
      <c r="B28">
        <v>0.93469999999999998</v>
      </c>
      <c r="C28">
        <v>0.878</v>
      </c>
      <c r="D28">
        <v>0.90410000000000001</v>
      </c>
      <c r="E28">
        <v>0.89400000000000002</v>
      </c>
      <c r="F28">
        <v>1.1171330605021512E-2</v>
      </c>
      <c r="G28">
        <v>3.2606555763362577E-2</v>
      </c>
    </row>
    <row r="29" spans="1:7" x14ac:dyDescent="0.3">
      <c r="A29">
        <v>44131</v>
      </c>
      <c r="B29">
        <v>0.91379999999999995</v>
      </c>
      <c r="C29">
        <v>0.88460000000000005</v>
      </c>
      <c r="D29">
        <v>0.89400000000000002</v>
      </c>
      <c r="E29">
        <v>0.9032</v>
      </c>
      <c r="F29">
        <v>-1.0290827740492059E-2</v>
      </c>
      <c r="G29">
        <v>-2.7040777390552329E-2</v>
      </c>
    </row>
    <row r="30" spans="1:7" x14ac:dyDescent="0.3">
      <c r="A30">
        <v>44132</v>
      </c>
      <c r="B30">
        <v>0.90590000000000004</v>
      </c>
      <c r="C30">
        <v>0.84230000000000005</v>
      </c>
      <c r="D30">
        <v>0.9032</v>
      </c>
      <c r="E30">
        <v>0.85850000000000004</v>
      </c>
      <c r="F30">
        <v>4.949069973427811E-2</v>
      </c>
      <c r="G30">
        <v>3.7078317729231758E-2</v>
      </c>
    </row>
    <row r="31" spans="1:7" x14ac:dyDescent="0.3">
      <c r="A31">
        <v>44133</v>
      </c>
      <c r="B31">
        <v>0.87139999999999995</v>
      </c>
      <c r="C31">
        <v>0.80789999999999995</v>
      </c>
      <c r="D31">
        <v>0.85850000000000004</v>
      </c>
      <c r="E31">
        <v>0.81640000000000001</v>
      </c>
      <c r="F31">
        <v>4.9039021549213802E-2</v>
      </c>
      <c r="G31">
        <v>3.163824369164181E-3</v>
      </c>
    </row>
    <row r="32" spans="1:7" x14ac:dyDescent="0.3">
      <c r="A32">
        <v>44134</v>
      </c>
      <c r="B32">
        <v>0.82809999999999995</v>
      </c>
      <c r="C32">
        <v>0.76670000000000005</v>
      </c>
      <c r="D32">
        <v>0.81640000000000001</v>
      </c>
      <c r="E32">
        <v>0.79949999999999999</v>
      </c>
      <c r="F32">
        <v>2.070063694267521E-2</v>
      </c>
      <c r="G32">
        <v>1.2334210662125256E-2</v>
      </c>
    </row>
    <row r="33" spans="1:7" x14ac:dyDescent="0.3">
      <c r="A33">
        <v>44135</v>
      </c>
      <c r="B33">
        <v>0.81489999999999996</v>
      </c>
      <c r="C33">
        <v>0.78739999999999999</v>
      </c>
      <c r="D33">
        <v>0.79949999999999999</v>
      </c>
      <c r="E33">
        <v>0.78790000000000004</v>
      </c>
      <c r="F33">
        <v>1.4509068167604666E-2</v>
      </c>
      <c r="G33">
        <v>-1.0476538823283477E-2</v>
      </c>
    </row>
    <row r="34" spans="1:7" x14ac:dyDescent="0.3">
      <c r="A34">
        <v>44136</v>
      </c>
      <c r="B34">
        <v>0.80500000000000005</v>
      </c>
      <c r="C34">
        <v>0.77749999999999997</v>
      </c>
      <c r="D34">
        <v>0.78790000000000004</v>
      </c>
      <c r="E34">
        <v>0.79110000000000003</v>
      </c>
      <c r="F34">
        <v>-4.0614291153699966E-3</v>
      </c>
      <c r="G34">
        <v>-2.5803449078263707E-2</v>
      </c>
    </row>
    <row r="35" spans="1:7" x14ac:dyDescent="0.3">
      <c r="A35">
        <v>44137</v>
      </c>
      <c r="B35">
        <v>0.81079999999999997</v>
      </c>
      <c r="C35">
        <v>0.76219999999999999</v>
      </c>
      <c r="D35">
        <v>0.79110000000000003</v>
      </c>
      <c r="E35">
        <v>0.77629999999999999</v>
      </c>
      <c r="F35">
        <v>1.8708127923145024E-2</v>
      </c>
      <c r="G35">
        <v>3.3119092627599156E-2</v>
      </c>
    </row>
    <row r="36" spans="1:7" x14ac:dyDescent="0.3">
      <c r="A36">
        <v>44138</v>
      </c>
      <c r="B36">
        <v>0.77629999999999999</v>
      </c>
      <c r="C36">
        <v>0.72430000000000005</v>
      </c>
      <c r="D36">
        <v>0.77629999999999999</v>
      </c>
      <c r="E36">
        <v>0.74050000000000005</v>
      </c>
      <c r="F36">
        <v>4.6116192193739414E-2</v>
      </c>
      <c r="G36">
        <v>-1.191314095044449E-2</v>
      </c>
    </row>
    <row r="37" spans="1:7" x14ac:dyDescent="0.3">
      <c r="A37">
        <v>44139</v>
      </c>
      <c r="B37">
        <v>0.74219999999999997</v>
      </c>
      <c r="C37">
        <v>0.69420000000000004</v>
      </c>
      <c r="D37">
        <v>0.74050000000000005</v>
      </c>
      <c r="E37">
        <v>0.70830000000000004</v>
      </c>
      <c r="F37">
        <v>4.3484132343011517E-2</v>
      </c>
      <c r="G37">
        <v>-3.730228244628786E-2</v>
      </c>
    </row>
    <row r="38" spans="1:7" x14ac:dyDescent="0.3">
      <c r="A38">
        <v>44140</v>
      </c>
      <c r="B38">
        <v>0.75949999999999995</v>
      </c>
      <c r="C38">
        <v>0.68610000000000004</v>
      </c>
      <c r="D38">
        <v>0.70830000000000004</v>
      </c>
      <c r="E38">
        <v>0.75939999999999996</v>
      </c>
      <c r="F38">
        <v>-7.2144571509247468E-2</v>
      </c>
      <c r="G38">
        <v>-3.5339989072666667E-2</v>
      </c>
    </row>
    <row r="39" spans="1:7" x14ac:dyDescent="0.3">
      <c r="A39">
        <v>44141</v>
      </c>
      <c r="B39">
        <v>0.82399999999999995</v>
      </c>
      <c r="C39">
        <v>0.75890000000000002</v>
      </c>
      <c r="D39">
        <v>0.75939999999999996</v>
      </c>
      <c r="E39">
        <v>0.81330000000000002</v>
      </c>
      <c r="F39">
        <v>-7.0977087174084907E-2</v>
      </c>
      <c r="G39">
        <v>-9.4581304420830348E-2</v>
      </c>
    </row>
    <row r="40" spans="1:7" x14ac:dyDescent="0.3">
      <c r="A40">
        <v>44142</v>
      </c>
      <c r="B40">
        <v>0.88919999999999999</v>
      </c>
      <c r="C40">
        <v>0.7621</v>
      </c>
      <c r="D40">
        <v>0.81330000000000002</v>
      </c>
      <c r="E40">
        <v>0.77959999999999996</v>
      </c>
      <c r="F40">
        <v>4.1436124431329269E-2</v>
      </c>
      <c r="G40">
        <v>4.4924614305750343E-2</v>
      </c>
    </row>
    <row r="41" spans="1:7" x14ac:dyDescent="0.3">
      <c r="A41">
        <v>44143</v>
      </c>
      <c r="B41">
        <v>0.84189999999999998</v>
      </c>
      <c r="C41">
        <v>0.7722</v>
      </c>
      <c r="D41">
        <v>0.77959999999999996</v>
      </c>
      <c r="E41">
        <v>0.82110000000000005</v>
      </c>
      <c r="F41">
        <v>-5.3232426885582385E-2</v>
      </c>
      <c r="G41">
        <v>-4.3412417970721817E-2</v>
      </c>
    </row>
    <row r="42" spans="1:7" x14ac:dyDescent="0.3">
      <c r="A42">
        <v>44144</v>
      </c>
      <c r="B42">
        <v>0.84960000000000002</v>
      </c>
      <c r="C42">
        <v>0.79300000000000004</v>
      </c>
      <c r="D42">
        <v>0.82110000000000005</v>
      </c>
      <c r="E42">
        <v>0.80989999999999995</v>
      </c>
      <c r="F42">
        <v>1.364023870417741E-2</v>
      </c>
      <c r="G42">
        <v>2.2628315081145267E-2</v>
      </c>
    </row>
    <row r="43" spans="1:7" x14ac:dyDescent="0.3">
      <c r="A43">
        <v>44145</v>
      </c>
      <c r="B43">
        <v>0.88739999999999997</v>
      </c>
      <c r="C43">
        <v>0.80740000000000001</v>
      </c>
      <c r="D43">
        <v>0.80989999999999995</v>
      </c>
      <c r="E43">
        <v>0.87829999999999997</v>
      </c>
      <c r="F43">
        <v>-8.4454870971724993E-2</v>
      </c>
      <c r="G43">
        <v>-1.4422319721003607E-2</v>
      </c>
    </row>
    <row r="44" spans="1:7" x14ac:dyDescent="0.3">
      <c r="A44">
        <v>44146</v>
      </c>
      <c r="B44">
        <v>0.9798</v>
      </c>
      <c r="C44">
        <v>0.878</v>
      </c>
      <c r="D44">
        <v>0.87829999999999997</v>
      </c>
      <c r="E44">
        <v>0.89270000000000005</v>
      </c>
      <c r="F44">
        <v>-1.6395309119890733E-2</v>
      </c>
      <c r="G44">
        <v>-2.8944683493767442E-2</v>
      </c>
    </row>
    <row r="45" spans="1:7" x14ac:dyDescent="0.3">
      <c r="A45">
        <v>44147</v>
      </c>
      <c r="B45">
        <v>0.9234</v>
      </c>
      <c r="C45">
        <v>0.84850000000000003</v>
      </c>
      <c r="D45">
        <v>0.89270000000000005</v>
      </c>
      <c r="E45">
        <v>0.86199999999999999</v>
      </c>
      <c r="F45">
        <v>3.4390052649266312E-2</v>
      </c>
      <c r="G45">
        <v>2.4358172921472576E-3</v>
      </c>
    </row>
    <row r="46" spans="1:7" x14ac:dyDescent="0.3">
      <c r="A46">
        <v>44148</v>
      </c>
      <c r="B46">
        <v>0.96240000000000003</v>
      </c>
      <c r="C46">
        <v>0.86009999999999998</v>
      </c>
      <c r="D46">
        <v>0.86199999999999999</v>
      </c>
      <c r="E46">
        <v>0.9244</v>
      </c>
      <c r="F46">
        <v>-7.2389791183294694E-2</v>
      </c>
      <c r="G46">
        <v>-3.0446432430096371E-2</v>
      </c>
    </row>
    <row r="47" spans="1:7" x14ac:dyDescent="0.3">
      <c r="A47">
        <v>44149</v>
      </c>
      <c r="B47">
        <v>0.92969999999999997</v>
      </c>
      <c r="C47">
        <v>0.86550000000000005</v>
      </c>
      <c r="D47">
        <v>0.9244</v>
      </c>
      <c r="E47">
        <v>0.89510000000000001</v>
      </c>
      <c r="F47">
        <v>3.1696235395932471E-2</v>
      </c>
      <c r="G47">
        <v>3.3216599911925715E-2</v>
      </c>
    </row>
    <row r="48" spans="1:7" x14ac:dyDescent="0.3">
      <c r="A48">
        <v>44150</v>
      </c>
      <c r="B48">
        <v>0.94930000000000003</v>
      </c>
      <c r="C48">
        <v>0.86890000000000001</v>
      </c>
      <c r="D48">
        <v>0.89510000000000001</v>
      </c>
      <c r="E48">
        <v>0.89049999999999996</v>
      </c>
      <c r="F48">
        <v>5.1390906044017637E-3</v>
      </c>
      <c r="G48">
        <v>2.7156584170227482E-2</v>
      </c>
    </row>
    <row r="49" spans="1:7" x14ac:dyDescent="0.3">
      <c r="A49">
        <v>44151</v>
      </c>
      <c r="B49">
        <v>0.95809999999999995</v>
      </c>
      <c r="C49">
        <v>0.88170000000000004</v>
      </c>
      <c r="D49">
        <v>0.89049999999999996</v>
      </c>
      <c r="E49">
        <v>0.94830000000000003</v>
      </c>
      <c r="F49">
        <v>-6.4907355418304391E-2</v>
      </c>
      <c r="G49">
        <v>-2.7870058638603368E-2</v>
      </c>
    </row>
    <row r="50" spans="1:7" x14ac:dyDescent="0.3">
      <c r="A50">
        <v>44152</v>
      </c>
      <c r="B50">
        <v>0.99029999999999996</v>
      </c>
      <c r="C50">
        <v>0.93100000000000005</v>
      </c>
      <c r="D50">
        <v>0.94830000000000003</v>
      </c>
      <c r="E50">
        <v>0.98850000000000005</v>
      </c>
      <c r="F50">
        <v>-4.2391648212591004E-2</v>
      </c>
      <c r="G50">
        <v>-4.7070562460684195E-2</v>
      </c>
    </row>
    <row r="51" spans="1:7" x14ac:dyDescent="0.3">
      <c r="A51">
        <v>44153</v>
      </c>
      <c r="B51">
        <v>0.99939999999999996</v>
      </c>
      <c r="C51">
        <v>0.87260000000000004</v>
      </c>
      <c r="D51">
        <v>0.98850000000000005</v>
      </c>
      <c r="E51">
        <v>0.92710000000000004</v>
      </c>
      <c r="F51">
        <v>6.2114314618108235E-2</v>
      </c>
      <c r="G51">
        <v>8.1829669988191522E-3</v>
      </c>
    </row>
    <row r="52" spans="1:7" x14ac:dyDescent="0.3">
      <c r="A52">
        <v>44154</v>
      </c>
      <c r="B52">
        <v>0.95679999999999998</v>
      </c>
      <c r="C52">
        <v>0.90129999999999999</v>
      </c>
      <c r="D52">
        <v>0.92710000000000004</v>
      </c>
      <c r="E52">
        <v>0.91169999999999995</v>
      </c>
      <c r="F52">
        <v>1.6610937331463793E-2</v>
      </c>
      <c r="G52">
        <v>1.4495780766981325E-2</v>
      </c>
    </row>
    <row r="53" spans="1:7" x14ac:dyDescent="0.3">
      <c r="A53">
        <v>44155</v>
      </c>
      <c r="B53">
        <v>0.96</v>
      </c>
      <c r="C53">
        <v>0.90620000000000001</v>
      </c>
      <c r="D53">
        <v>0.91169999999999995</v>
      </c>
      <c r="E53">
        <v>0.94140000000000001</v>
      </c>
      <c r="F53">
        <v>-3.257650542941759E-2</v>
      </c>
      <c r="G53">
        <v>-8.1832054597092085E-2</v>
      </c>
    </row>
    <row r="54" spans="1:7" x14ac:dyDescent="0.3">
      <c r="A54">
        <v>44156</v>
      </c>
      <c r="B54">
        <v>1.056</v>
      </c>
      <c r="C54">
        <v>0.93559999999999999</v>
      </c>
      <c r="D54">
        <v>0.94140000000000001</v>
      </c>
      <c r="E54">
        <v>1.056</v>
      </c>
      <c r="F54">
        <v>-0.12173358827278524</v>
      </c>
      <c r="G54">
        <v>-8.195051231314765E-2</v>
      </c>
    </row>
    <row r="55" spans="1:7" x14ac:dyDescent="0.3">
      <c r="A55">
        <v>44157</v>
      </c>
      <c r="B55">
        <v>1.075</v>
      </c>
      <c r="C55">
        <v>0.95179999999999998</v>
      </c>
      <c r="D55">
        <v>1.056</v>
      </c>
      <c r="E55">
        <v>1.0229999999999999</v>
      </c>
      <c r="F55">
        <v>3.1250000000000111E-2</v>
      </c>
      <c r="G55">
        <v>-1.4033245210589129E-2</v>
      </c>
    </row>
    <row r="56" spans="1:7" x14ac:dyDescent="0.3">
      <c r="A56">
        <v>44158</v>
      </c>
      <c r="B56">
        <v>1.1299999999999999</v>
      </c>
      <c r="C56">
        <v>0.98960000000000004</v>
      </c>
      <c r="D56">
        <v>1.0229999999999999</v>
      </c>
      <c r="E56">
        <v>1.109</v>
      </c>
      <c r="F56">
        <v>-8.4066471163245504E-2</v>
      </c>
      <c r="G56">
        <v>-8.7712719415724782E-2</v>
      </c>
    </row>
    <row r="57" spans="1:7" x14ac:dyDescent="0.3">
      <c r="A57">
        <v>44159</v>
      </c>
      <c r="B57">
        <v>1.1870000000000001</v>
      </c>
      <c r="C57">
        <v>1.0489999999999999</v>
      </c>
      <c r="D57">
        <v>1.109</v>
      </c>
      <c r="E57">
        <v>1.1339999999999999</v>
      </c>
      <c r="F57">
        <v>-2.2542831379621209E-2</v>
      </c>
      <c r="G57">
        <v>6.8129955838654999E-3</v>
      </c>
    </row>
    <row r="58" spans="1:7" x14ac:dyDescent="0.3">
      <c r="A58">
        <v>44160</v>
      </c>
      <c r="B58">
        <v>1.3560000000000001</v>
      </c>
      <c r="C58">
        <v>1.105</v>
      </c>
      <c r="D58">
        <v>1.1339999999999999</v>
      </c>
      <c r="E58">
        <v>1.157</v>
      </c>
      <c r="F58">
        <v>-2.0282186948853642E-2</v>
      </c>
      <c r="G58">
        <v>5.8811861549142197E-2</v>
      </c>
    </row>
    <row r="59" spans="1:7" x14ac:dyDescent="0.3">
      <c r="A59">
        <v>44161</v>
      </c>
      <c r="B59">
        <v>1.1970000000000001</v>
      </c>
      <c r="C59">
        <v>0.90139999999999998</v>
      </c>
      <c r="D59">
        <v>1.157</v>
      </c>
      <c r="E59">
        <v>0.98199999999999998</v>
      </c>
      <c r="F59">
        <v>0.15125324114088168</v>
      </c>
      <c r="G59">
        <v>8.6371619248331477E-2</v>
      </c>
    </row>
    <row r="60" spans="1:7" x14ac:dyDescent="0.3">
      <c r="A60">
        <v>44162</v>
      </c>
      <c r="B60">
        <v>1.012</v>
      </c>
      <c r="C60">
        <v>0.92420000000000002</v>
      </c>
      <c r="D60">
        <v>0.98199999999999998</v>
      </c>
      <c r="E60">
        <v>0.96419999999999995</v>
      </c>
      <c r="F60">
        <v>1.8126272912423635E-2</v>
      </c>
      <c r="G60">
        <v>2.671946484179788E-3</v>
      </c>
    </row>
    <row r="61" spans="1:7" x14ac:dyDescent="0.3">
      <c r="A61">
        <v>44163</v>
      </c>
      <c r="B61">
        <v>1.0449999999999999</v>
      </c>
      <c r="C61">
        <v>0.93610000000000004</v>
      </c>
      <c r="D61">
        <v>0.96419999999999995</v>
      </c>
      <c r="E61">
        <v>1.0129999999999999</v>
      </c>
      <c r="F61">
        <v>-5.0611906243517968E-2</v>
      </c>
      <c r="G61">
        <v>-3.6929244646608739E-2</v>
      </c>
    </row>
    <row r="62" spans="1:7" x14ac:dyDescent="0.3">
      <c r="A62">
        <v>44164</v>
      </c>
      <c r="B62">
        <v>1.04</v>
      </c>
      <c r="C62">
        <v>0.98629999999999995</v>
      </c>
      <c r="D62">
        <v>1.0129999999999999</v>
      </c>
      <c r="E62">
        <v>1.016</v>
      </c>
      <c r="F62">
        <v>-2.9615004935834577E-3</v>
      </c>
      <c r="G62">
        <v>-5.0354095801037335E-2</v>
      </c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C385B-439B-4A5D-96CA-1F5F25EF6799}">
  <sheetPr codeName="Sheet15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44104</v>
      </c>
      <c r="B2">
        <v>15.9</v>
      </c>
      <c r="C2">
        <v>15.34</v>
      </c>
      <c r="D2">
        <v>15.69</v>
      </c>
      <c r="E2">
        <v>15.71</v>
      </c>
      <c r="F2"/>
      <c r="G2"/>
    </row>
    <row r="3" spans="1:7" x14ac:dyDescent="0.3">
      <c r="A3">
        <v>44105</v>
      </c>
      <c r="B3">
        <v>19.03</v>
      </c>
      <c r="C3">
        <v>15.41</v>
      </c>
      <c r="D3">
        <v>15.71</v>
      </c>
      <c r="E3">
        <v>17.72</v>
      </c>
      <c r="F3">
        <v>-0.12794398472310609</v>
      </c>
      <c r="G3">
        <v>1.8370296259240804E-2</v>
      </c>
    </row>
    <row r="4" spans="1:7" x14ac:dyDescent="0.3">
      <c r="A4">
        <v>44106</v>
      </c>
      <c r="B4">
        <v>18.52</v>
      </c>
      <c r="C4">
        <v>14.99</v>
      </c>
      <c r="D4">
        <v>17.72</v>
      </c>
      <c r="E4">
        <v>15.75</v>
      </c>
      <c r="F4">
        <v>0.11117381489841982</v>
      </c>
      <c r="G4">
        <v>2.0894085671413598E-2</v>
      </c>
    </row>
    <row r="5" spans="1:7" x14ac:dyDescent="0.3">
      <c r="A5">
        <v>44107</v>
      </c>
      <c r="B5">
        <v>16.850000000000001</v>
      </c>
      <c r="C5">
        <v>15.56</v>
      </c>
      <c r="D5">
        <v>15.75</v>
      </c>
      <c r="E5">
        <v>16.190000000000001</v>
      </c>
      <c r="F5">
        <v>-2.7936507936507926E-2</v>
      </c>
      <c r="G5">
        <v>-1.4168811265651282E-3</v>
      </c>
    </row>
    <row r="6" spans="1:7" x14ac:dyDescent="0.3">
      <c r="A6">
        <v>44108</v>
      </c>
      <c r="B6">
        <v>16.579999999999998</v>
      </c>
      <c r="C6">
        <v>16.05</v>
      </c>
      <c r="D6">
        <v>16.190000000000001</v>
      </c>
      <c r="E6">
        <v>16.309999999999999</v>
      </c>
      <c r="F6">
        <v>-7.4119827053735765E-3</v>
      </c>
      <c r="G6">
        <v>-1.816239316239332E-2</v>
      </c>
    </row>
    <row r="7" spans="1:7" x14ac:dyDescent="0.3">
      <c r="A7">
        <v>44109</v>
      </c>
      <c r="B7">
        <v>16.89</v>
      </c>
      <c r="C7">
        <v>15.94</v>
      </c>
      <c r="D7">
        <v>16.309999999999999</v>
      </c>
      <c r="E7">
        <v>16</v>
      </c>
      <c r="F7">
        <v>1.9006744328632696E-2</v>
      </c>
      <c r="G7">
        <v>-3.2613936076684169E-3</v>
      </c>
    </row>
    <row r="8" spans="1:7" x14ac:dyDescent="0.3">
      <c r="A8">
        <v>44110</v>
      </c>
      <c r="B8">
        <v>15.73</v>
      </c>
      <c r="C8">
        <v>13.81</v>
      </c>
      <c r="D8">
        <v>16</v>
      </c>
      <c r="E8">
        <v>13.84</v>
      </c>
      <c r="F8">
        <v>0.13500000000000001</v>
      </c>
      <c r="G8">
        <v>3.6493668023518722E-2</v>
      </c>
    </row>
    <row r="9" spans="1:7" x14ac:dyDescent="0.3">
      <c r="A9">
        <v>44111</v>
      </c>
      <c r="B9">
        <v>15.07</v>
      </c>
      <c r="C9">
        <v>13.21</v>
      </c>
      <c r="D9">
        <v>13.84</v>
      </c>
      <c r="E9">
        <v>14.43</v>
      </c>
      <c r="F9">
        <v>-4.263005780346818E-2</v>
      </c>
      <c r="G9">
        <v>-3.1098723778788528E-3</v>
      </c>
    </row>
    <row r="10" spans="1:7" x14ac:dyDescent="0.3">
      <c r="A10">
        <v>44112</v>
      </c>
      <c r="B10">
        <v>15.49</v>
      </c>
      <c r="C10">
        <v>13.58</v>
      </c>
      <c r="D10">
        <v>14.43</v>
      </c>
      <c r="E10">
        <v>15.07</v>
      </c>
      <c r="F10">
        <v>-4.4352044352044429E-2</v>
      </c>
      <c r="G10">
        <v>-2.7170892925038714E-2</v>
      </c>
    </row>
    <row r="11" spans="1:7" x14ac:dyDescent="0.3">
      <c r="A11">
        <v>44113</v>
      </c>
      <c r="B11">
        <v>15.79</v>
      </c>
      <c r="C11">
        <v>14.7</v>
      </c>
      <c r="D11">
        <v>15.07</v>
      </c>
      <c r="E11">
        <v>15.24</v>
      </c>
      <c r="F11">
        <v>-1.1280690112806857E-2</v>
      </c>
      <c r="G11">
        <v>-4.0461275626423765E-2</v>
      </c>
    </row>
    <row r="12" spans="1:7" x14ac:dyDescent="0.3">
      <c r="A12">
        <v>44114</v>
      </c>
      <c r="B12">
        <v>16.100000000000001</v>
      </c>
      <c r="C12">
        <v>15</v>
      </c>
      <c r="D12">
        <v>15.24</v>
      </c>
      <c r="E12">
        <v>15.11</v>
      </c>
      <c r="F12">
        <v>8.5301837270341796E-3</v>
      </c>
      <c r="G12">
        <v>-1.4969486330423276E-2</v>
      </c>
    </row>
    <row r="13" spans="1:7" x14ac:dyDescent="0.3">
      <c r="A13">
        <v>44115</v>
      </c>
      <c r="B13">
        <v>15.6</v>
      </c>
      <c r="C13">
        <v>14.76</v>
      </c>
      <c r="D13">
        <v>15.11</v>
      </c>
      <c r="E13">
        <v>15.2</v>
      </c>
      <c r="F13">
        <v>-5.9563203176704604E-3</v>
      </c>
      <c r="G13">
        <v>-9.4100517687663032E-3</v>
      </c>
    </row>
    <row r="14" spans="1:7" x14ac:dyDescent="0.3">
      <c r="A14">
        <v>44116</v>
      </c>
      <c r="B14">
        <v>16.54</v>
      </c>
      <c r="C14">
        <v>14.71</v>
      </c>
      <c r="D14">
        <v>15.2</v>
      </c>
      <c r="E14">
        <v>15.61</v>
      </c>
      <c r="F14">
        <v>-2.6973684210526372E-2</v>
      </c>
      <c r="G14">
        <v>-3.3496273739882954E-2</v>
      </c>
    </row>
    <row r="15" spans="1:7" x14ac:dyDescent="0.3">
      <c r="A15">
        <v>44117</v>
      </c>
      <c r="B15">
        <v>15.95</v>
      </c>
      <c r="C15">
        <v>14.97</v>
      </c>
      <c r="D15">
        <v>15.61</v>
      </c>
      <c r="E15">
        <v>15.31</v>
      </c>
      <c r="F15">
        <v>1.9218449711723151E-2</v>
      </c>
      <c r="G15">
        <v>1.421519216355227E-2</v>
      </c>
    </row>
    <row r="16" spans="1:7" x14ac:dyDescent="0.3">
      <c r="A16">
        <v>44118</v>
      </c>
      <c r="B16">
        <v>15.4</v>
      </c>
      <c r="C16">
        <v>14.2</v>
      </c>
      <c r="D16">
        <v>15.3</v>
      </c>
      <c r="E16">
        <v>14.37</v>
      </c>
      <c r="F16">
        <v>6.1397779229262039E-2</v>
      </c>
      <c r="G16">
        <v>6.0302561547941336E-3</v>
      </c>
    </row>
    <row r="17" spans="1:7" x14ac:dyDescent="0.3">
      <c r="A17">
        <v>44119</v>
      </c>
      <c r="B17">
        <v>14.42</v>
      </c>
      <c r="C17">
        <v>13.53</v>
      </c>
      <c r="D17">
        <v>14.38</v>
      </c>
      <c r="E17">
        <v>14.05</v>
      </c>
      <c r="F17">
        <v>2.2268615170493944E-2</v>
      </c>
      <c r="G17">
        <v>3.7192371607185359E-3</v>
      </c>
    </row>
    <row r="18" spans="1:7" x14ac:dyDescent="0.3">
      <c r="A18">
        <v>44120</v>
      </c>
      <c r="B18">
        <v>13.83</v>
      </c>
      <c r="C18">
        <v>13.32</v>
      </c>
      <c r="D18">
        <v>14.04</v>
      </c>
      <c r="E18">
        <v>13.36</v>
      </c>
      <c r="F18">
        <v>4.9110320284697639E-2</v>
      </c>
      <c r="G18">
        <v>3.2088959491660018E-2</v>
      </c>
    </row>
    <row r="19" spans="1:7" x14ac:dyDescent="0.3">
      <c r="A19">
        <v>44121</v>
      </c>
      <c r="B19">
        <v>13.93</v>
      </c>
      <c r="C19">
        <v>13.28</v>
      </c>
      <c r="D19">
        <v>13.36</v>
      </c>
      <c r="E19">
        <v>13.81</v>
      </c>
      <c r="F19">
        <v>-3.3682634730539007E-2</v>
      </c>
      <c r="G19">
        <v>-8.3976147491657827E-3</v>
      </c>
    </row>
    <row r="20" spans="1:7" x14ac:dyDescent="0.3">
      <c r="A20">
        <v>44122</v>
      </c>
      <c r="B20">
        <v>14.17</v>
      </c>
      <c r="C20">
        <v>13.57</v>
      </c>
      <c r="D20">
        <v>13.81</v>
      </c>
      <c r="E20">
        <v>13.78</v>
      </c>
      <c r="F20">
        <v>2.1723388848661207E-3</v>
      </c>
      <c r="G20">
        <v>-2.6556354265563575E-2</v>
      </c>
    </row>
    <row r="21" spans="1:7" x14ac:dyDescent="0.3">
      <c r="A21">
        <v>44123</v>
      </c>
      <c r="B21">
        <v>14.07</v>
      </c>
      <c r="C21">
        <v>13.12</v>
      </c>
      <c r="D21">
        <v>13.78</v>
      </c>
      <c r="E21">
        <v>13.29</v>
      </c>
      <c r="F21">
        <v>3.5558780841799753E-2</v>
      </c>
      <c r="G21">
        <v>-2.5631540006343378E-3</v>
      </c>
    </row>
    <row r="22" spans="1:7" x14ac:dyDescent="0.3">
      <c r="A22">
        <v>44124</v>
      </c>
      <c r="B22">
        <v>13.6</v>
      </c>
      <c r="C22">
        <v>12.22</v>
      </c>
      <c r="D22">
        <v>13.29</v>
      </c>
      <c r="E22">
        <v>12.34</v>
      </c>
      <c r="F22">
        <v>7.1482317531978867E-2</v>
      </c>
      <c r="G22">
        <v>2.8122611422998878E-2</v>
      </c>
    </row>
    <row r="23" spans="1:7" x14ac:dyDescent="0.3">
      <c r="A23">
        <v>44125</v>
      </c>
      <c r="B23">
        <v>13.16</v>
      </c>
      <c r="C23">
        <v>12.15</v>
      </c>
      <c r="D23">
        <v>12.33</v>
      </c>
      <c r="E23">
        <v>12.22</v>
      </c>
      <c r="F23">
        <v>9.7244732576984294E-3</v>
      </c>
      <c r="G23">
        <v>-6.1615230243531993E-2</v>
      </c>
    </row>
    <row r="24" spans="1:7" x14ac:dyDescent="0.3">
      <c r="A24">
        <v>44126</v>
      </c>
      <c r="B24">
        <v>13.07</v>
      </c>
      <c r="C24">
        <v>12.34</v>
      </c>
      <c r="D24">
        <v>12.21</v>
      </c>
      <c r="E24">
        <v>12.85</v>
      </c>
      <c r="F24">
        <v>-5.1554828150572662E-2</v>
      </c>
      <c r="G24">
        <v>-5.8856588157155221E-2</v>
      </c>
    </row>
    <row r="25" spans="1:7" x14ac:dyDescent="0.3">
      <c r="A25">
        <v>44127</v>
      </c>
      <c r="B25">
        <v>12.72</v>
      </c>
      <c r="C25">
        <v>12.18</v>
      </c>
      <c r="D25">
        <v>12.82</v>
      </c>
      <c r="E25">
        <v>12.31</v>
      </c>
      <c r="F25">
        <v>4.2023346303501907E-2</v>
      </c>
      <c r="G25">
        <v>1.189384800965021E-2</v>
      </c>
    </row>
    <row r="26" spans="1:7" x14ac:dyDescent="0.3">
      <c r="A26">
        <v>44128</v>
      </c>
      <c r="B26">
        <v>12.59</v>
      </c>
      <c r="C26">
        <v>12.02</v>
      </c>
      <c r="D26">
        <v>12.31</v>
      </c>
      <c r="E26">
        <v>12.24</v>
      </c>
      <c r="F26">
        <v>5.6864337936637366E-3</v>
      </c>
      <c r="G26">
        <v>-7.275923529555417E-3</v>
      </c>
    </row>
    <row r="27" spans="1:7" x14ac:dyDescent="0.3">
      <c r="A27">
        <v>44129</v>
      </c>
      <c r="B27">
        <v>13.17</v>
      </c>
      <c r="C27">
        <v>11.98</v>
      </c>
      <c r="D27">
        <v>12.23</v>
      </c>
      <c r="E27">
        <v>12.75</v>
      </c>
      <c r="F27">
        <v>-4.1666666666666741E-2</v>
      </c>
      <c r="G27">
        <v>1.5004241910071547E-2</v>
      </c>
    </row>
    <row r="28" spans="1:7" x14ac:dyDescent="0.3">
      <c r="A28">
        <v>44130</v>
      </c>
      <c r="B28">
        <v>12.89</v>
      </c>
      <c r="C28">
        <v>11.69</v>
      </c>
      <c r="D28">
        <v>12.75</v>
      </c>
      <c r="E28">
        <v>11.75</v>
      </c>
      <c r="F28">
        <v>7.8431372549019662E-2</v>
      </c>
      <c r="G28">
        <v>3.2606555763362577E-2</v>
      </c>
    </row>
    <row r="29" spans="1:7" x14ac:dyDescent="0.3">
      <c r="A29">
        <v>44131</v>
      </c>
      <c r="B29">
        <v>12.52</v>
      </c>
      <c r="C29">
        <v>11.88</v>
      </c>
      <c r="D29">
        <v>11.75</v>
      </c>
      <c r="E29">
        <v>12.12</v>
      </c>
      <c r="F29">
        <v>-3.1489361702127683E-2</v>
      </c>
      <c r="G29">
        <v>-2.7040777390552329E-2</v>
      </c>
    </row>
    <row r="30" spans="1:7" x14ac:dyDescent="0.3">
      <c r="A30">
        <v>44132</v>
      </c>
      <c r="B30">
        <v>11.8</v>
      </c>
      <c r="C30">
        <v>10.55</v>
      </c>
      <c r="D30">
        <v>12.12</v>
      </c>
      <c r="E30">
        <v>10.77</v>
      </c>
      <c r="F30">
        <v>0.11138613861386137</v>
      </c>
      <c r="G30">
        <v>3.7078317729231758E-2</v>
      </c>
    </row>
    <row r="31" spans="1:7" x14ac:dyDescent="0.3">
      <c r="A31">
        <v>44133</v>
      </c>
      <c r="B31">
        <v>10.8</v>
      </c>
      <c r="C31">
        <v>10.36</v>
      </c>
      <c r="D31">
        <v>10.78</v>
      </c>
      <c r="E31">
        <v>10.39</v>
      </c>
      <c r="F31">
        <v>3.5283194057567191E-2</v>
      </c>
      <c r="G31">
        <v>3.163824369164181E-3</v>
      </c>
    </row>
    <row r="32" spans="1:7" x14ac:dyDescent="0.3">
      <c r="A32">
        <v>44134</v>
      </c>
      <c r="B32">
        <v>10.28</v>
      </c>
      <c r="C32">
        <v>10.050000000000001</v>
      </c>
      <c r="D32">
        <v>10.39</v>
      </c>
      <c r="E32">
        <v>10.18</v>
      </c>
      <c r="F32">
        <v>2.0211742059672799E-2</v>
      </c>
      <c r="G32">
        <v>1.2334210662125256E-2</v>
      </c>
    </row>
    <row r="33" spans="1:7" x14ac:dyDescent="0.3">
      <c r="A33">
        <v>44135</v>
      </c>
      <c r="B33">
        <v>10.3</v>
      </c>
      <c r="C33">
        <v>9.9009999999999998</v>
      </c>
      <c r="D33">
        <v>10.18</v>
      </c>
      <c r="E33">
        <v>9.92</v>
      </c>
      <c r="F33">
        <v>2.5540275049115935E-2</v>
      </c>
      <c r="G33">
        <v>-1.0476538823283477E-2</v>
      </c>
    </row>
    <row r="34" spans="1:7" x14ac:dyDescent="0.3">
      <c r="A34">
        <v>44136</v>
      </c>
      <c r="B34">
        <v>10.220000000000001</v>
      </c>
      <c r="C34">
        <v>9.7460000000000004</v>
      </c>
      <c r="D34">
        <v>9.92</v>
      </c>
      <c r="E34">
        <v>9.9</v>
      </c>
      <c r="F34">
        <v>2.0161290322580072E-3</v>
      </c>
      <c r="G34">
        <v>-2.5803449078263707E-2</v>
      </c>
    </row>
    <row r="35" spans="1:7" x14ac:dyDescent="0.3">
      <c r="A35">
        <v>44137</v>
      </c>
      <c r="B35">
        <v>10.25</v>
      </c>
      <c r="C35">
        <v>9.0559999999999992</v>
      </c>
      <c r="D35">
        <v>9.8789999999999996</v>
      </c>
      <c r="E35">
        <v>9.125</v>
      </c>
      <c r="F35">
        <v>7.8282828282828287E-2</v>
      </c>
      <c r="G35">
        <v>3.3119092627599156E-2</v>
      </c>
    </row>
    <row r="36" spans="1:7" x14ac:dyDescent="0.3">
      <c r="A36">
        <v>44138</v>
      </c>
      <c r="B36">
        <v>9.4269999999999996</v>
      </c>
      <c r="C36">
        <v>8.6780000000000008</v>
      </c>
      <c r="D36">
        <v>9.125</v>
      </c>
      <c r="E36">
        <v>8.891</v>
      </c>
      <c r="F36">
        <v>2.5643835616438349E-2</v>
      </c>
      <c r="G36">
        <v>-1.191314095044449E-2</v>
      </c>
    </row>
    <row r="37" spans="1:7" x14ac:dyDescent="0.3">
      <c r="A37">
        <v>44139</v>
      </c>
      <c r="B37">
        <v>9.7479999999999993</v>
      </c>
      <c r="C37">
        <v>8.3659999999999997</v>
      </c>
      <c r="D37">
        <v>8.891</v>
      </c>
      <c r="E37">
        <v>8.7750000000000004</v>
      </c>
      <c r="F37">
        <v>1.3046901360926788E-2</v>
      </c>
      <c r="G37">
        <v>-3.730228244628786E-2</v>
      </c>
    </row>
    <row r="38" spans="1:7" x14ac:dyDescent="0.3">
      <c r="A38">
        <v>44140</v>
      </c>
      <c r="B38">
        <v>9.4410000000000007</v>
      </c>
      <c r="C38">
        <v>8.5969999999999995</v>
      </c>
      <c r="D38">
        <v>8.7750000000000004</v>
      </c>
      <c r="E38">
        <v>9.0280000000000005</v>
      </c>
      <c r="F38">
        <v>-2.8831908831908892E-2</v>
      </c>
      <c r="G38">
        <v>-3.5339989072666667E-2</v>
      </c>
    </row>
    <row r="39" spans="1:7" x14ac:dyDescent="0.3">
      <c r="A39">
        <v>44141</v>
      </c>
      <c r="B39">
        <v>10.119999999999999</v>
      </c>
      <c r="C39">
        <v>8.93</v>
      </c>
      <c r="D39">
        <v>9.0280000000000005</v>
      </c>
      <c r="E39">
        <v>10.01</v>
      </c>
      <c r="F39">
        <v>-0.10877270713336284</v>
      </c>
      <c r="G39">
        <v>-9.4581304420830348E-2</v>
      </c>
    </row>
    <row r="40" spans="1:7" x14ac:dyDescent="0.3">
      <c r="A40">
        <v>44142</v>
      </c>
      <c r="B40">
        <v>11.53</v>
      </c>
      <c r="C40">
        <v>9.5579999999999998</v>
      </c>
      <c r="D40">
        <v>10.01</v>
      </c>
      <c r="E40">
        <v>9.9169999999999998</v>
      </c>
      <c r="F40">
        <v>9.2907092907092981E-3</v>
      </c>
      <c r="G40">
        <v>4.4924614305750343E-2</v>
      </c>
    </row>
    <row r="41" spans="1:7" x14ac:dyDescent="0.3">
      <c r="A41">
        <v>44143</v>
      </c>
      <c r="B41">
        <v>10.49</v>
      </c>
      <c r="C41">
        <v>9.7569999999999997</v>
      </c>
      <c r="D41">
        <v>9.9169999999999998</v>
      </c>
      <c r="E41">
        <v>10.220000000000001</v>
      </c>
      <c r="F41">
        <v>-3.0553594837148479E-2</v>
      </c>
      <c r="G41">
        <v>-4.3412417970721817E-2</v>
      </c>
    </row>
    <row r="42" spans="1:7" x14ac:dyDescent="0.3">
      <c r="A42">
        <v>44144</v>
      </c>
      <c r="B42">
        <v>10.51</v>
      </c>
      <c r="C42">
        <v>9.84</v>
      </c>
      <c r="D42">
        <v>10.199999999999999</v>
      </c>
      <c r="E42">
        <v>10.36</v>
      </c>
      <c r="F42">
        <v>-1.3698630136986134E-2</v>
      </c>
      <c r="G42">
        <v>2.2628315081145267E-2</v>
      </c>
    </row>
    <row r="43" spans="1:7" x14ac:dyDescent="0.3">
      <c r="A43">
        <v>44145</v>
      </c>
      <c r="B43">
        <v>12.46</v>
      </c>
      <c r="C43">
        <v>10.27</v>
      </c>
      <c r="D43">
        <v>10.36</v>
      </c>
      <c r="E43">
        <v>12.1</v>
      </c>
      <c r="F43">
        <v>-0.16795366795366795</v>
      </c>
      <c r="G43">
        <v>-1.4422319721003607E-2</v>
      </c>
    </row>
    <row r="44" spans="1:7" x14ac:dyDescent="0.3">
      <c r="A44">
        <v>44146</v>
      </c>
      <c r="B44">
        <v>12.6</v>
      </c>
      <c r="C44">
        <v>11.27</v>
      </c>
      <c r="D44">
        <v>12.11</v>
      </c>
      <c r="E44">
        <v>11.65</v>
      </c>
      <c r="F44">
        <v>3.7190082644628086E-2</v>
      </c>
      <c r="G44">
        <v>-2.8944683493767442E-2</v>
      </c>
    </row>
    <row r="45" spans="1:7" x14ac:dyDescent="0.3">
      <c r="A45">
        <v>44147</v>
      </c>
      <c r="B45">
        <v>12.17</v>
      </c>
      <c r="C45">
        <v>11.11</v>
      </c>
      <c r="D45">
        <v>11.68</v>
      </c>
      <c r="E45">
        <v>11.53</v>
      </c>
      <c r="F45">
        <v>1.0300429184549431E-2</v>
      </c>
      <c r="G45">
        <v>2.4358172921472576E-3</v>
      </c>
    </row>
    <row r="46" spans="1:7" x14ac:dyDescent="0.3">
      <c r="A46">
        <v>44148</v>
      </c>
      <c r="B46">
        <v>13.53</v>
      </c>
      <c r="C46">
        <v>11.46</v>
      </c>
      <c r="D46">
        <v>11.58</v>
      </c>
      <c r="E46">
        <v>13.36</v>
      </c>
      <c r="F46">
        <v>-0.15871639202081522</v>
      </c>
      <c r="G46">
        <v>-3.0446432430096371E-2</v>
      </c>
    </row>
    <row r="47" spans="1:7" x14ac:dyDescent="0.3">
      <c r="A47">
        <v>44149</v>
      </c>
      <c r="B47">
        <v>13.76</v>
      </c>
      <c r="C47">
        <v>12.13</v>
      </c>
      <c r="D47">
        <v>13.38</v>
      </c>
      <c r="E47">
        <v>12.98</v>
      </c>
      <c r="F47">
        <v>2.8443113772455009E-2</v>
      </c>
      <c r="G47">
        <v>3.3216599911925715E-2</v>
      </c>
    </row>
    <row r="48" spans="1:7" x14ac:dyDescent="0.3">
      <c r="A48">
        <v>44150</v>
      </c>
      <c r="B48">
        <v>13.75</v>
      </c>
      <c r="C48">
        <v>12.17</v>
      </c>
      <c r="D48">
        <v>12.98</v>
      </c>
      <c r="E48">
        <v>12.62</v>
      </c>
      <c r="F48">
        <v>2.7734976887519358E-2</v>
      </c>
      <c r="G48">
        <v>2.7156584170227482E-2</v>
      </c>
    </row>
    <row r="49" spans="1:7" x14ac:dyDescent="0.3">
      <c r="A49">
        <v>44151</v>
      </c>
      <c r="B49">
        <v>13.55</v>
      </c>
      <c r="C49">
        <v>12.81</v>
      </c>
      <c r="D49">
        <v>12.59</v>
      </c>
      <c r="E49">
        <v>13.03</v>
      </c>
      <c r="F49">
        <v>-3.2488114104595844E-2</v>
      </c>
      <c r="G49">
        <v>-2.7870058638603368E-2</v>
      </c>
    </row>
    <row r="50" spans="1:7" x14ac:dyDescent="0.3">
      <c r="A50">
        <v>44152</v>
      </c>
      <c r="B50">
        <v>13.74</v>
      </c>
      <c r="C50">
        <v>13.23</v>
      </c>
      <c r="D50">
        <v>12.87</v>
      </c>
      <c r="E50">
        <v>13.69</v>
      </c>
      <c r="F50">
        <v>-5.0652340752110447E-2</v>
      </c>
      <c r="G50">
        <v>-4.7070562460684195E-2</v>
      </c>
    </row>
    <row r="51" spans="1:7" x14ac:dyDescent="0.3">
      <c r="A51">
        <v>44153</v>
      </c>
      <c r="B51">
        <v>13.59</v>
      </c>
      <c r="C51">
        <v>13.01</v>
      </c>
      <c r="D51">
        <v>13.69</v>
      </c>
      <c r="E51">
        <v>13.32</v>
      </c>
      <c r="F51">
        <v>2.7027027027026973E-2</v>
      </c>
      <c r="G51">
        <v>8.1829669988191522E-3</v>
      </c>
    </row>
    <row r="52" spans="1:7" x14ac:dyDescent="0.3">
      <c r="A52">
        <v>44154</v>
      </c>
      <c r="B52">
        <v>13.18</v>
      </c>
      <c r="C52">
        <v>12.46</v>
      </c>
      <c r="D52">
        <v>13.32</v>
      </c>
      <c r="E52">
        <v>13.18</v>
      </c>
      <c r="F52">
        <v>1.0510510510510551E-2</v>
      </c>
      <c r="G52">
        <v>1.4495780766981325E-2</v>
      </c>
    </row>
    <row r="53" spans="1:7" x14ac:dyDescent="0.3">
      <c r="A53">
        <v>44155</v>
      </c>
      <c r="B53">
        <v>18.89</v>
      </c>
      <c r="C53">
        <v>13.24</v>
      </c>
      <c r="D53">
        <v>13.29</v>
      </c>
      <c r="E53">
        <v>15.63</v>
      </c>
      <c r="F53">
        <v>-0.18588770864946902</v>
      </c>
      <c r="G53">
        <v>-8.1832054597092085E-2</v>
      </c>
    </row>
    <row r="54" spans="1:7" x14ac:dyDescent="0.3">
      <c r="A54">
        <v>44156</v>
      </c>
      <c r="B54">
        <v>17.18</v>
      </c>
      <c r="C54">
        <v>15.22</v>
      </c>
      <c r="D54">
        <v>15.63</v>
      </c>
      <c r="E54">
        <v>16.14</v>
      </c>
      <c r="F54">
        <v>-3.2629558541266812E-2</v>
      </c>
      <c r="G54">
        <v>-8.195051231314765E-2</v>
      </c>
    </row>
    <row r="55" spans="1:7" x14ac:dyDescent="0.3">
      <c r="A55">
        <v>44157</v>
      </c>
      <c r="B55">
        <v>18.489999999999998</v>
      </c>
      <c r="C55">
        <v>15.29</v>
      </c>
      <c r="D55">
        <v>16.14</v>
      </c>
      <c r="E55">
        <v>16.88</v>
      </c>
      <c r="F55">
        <v>-4.5848822800495626E-2</v>
      </c>
      <c r="G55">
        <v>-1.4033245210589129E-2</v>
      </c>
    </row>
    <row r="56" spans="1:7" x14ac:dyDescent="0.3">
      <c r="A56">
        <v>44158</v>
      </c>
      <c r="B56">
        <v>18.350000000000001</v>
      </c>
      <c r="C56">
        <v>17.059999999999999</v>
      </c>
      <c r="D56">
        <v>16.850000000000001</v>
      </c>
      <c r="E56">
        <v>17.239999999999998</v>
      </c>
      <c r="F56">
        <v>-2.1327014218009532E-2</v>
      </c>
      <c r="G56">
        <v>-8.7712719415724782E-2</v>
      </c>
    </row>
    <row r="57" spans="1:7" x14ac:dyDescent="0.3">
      <c r="A57">
        <v>44159</v>
      </c>
      <c r="B57">
        <v>17.760000000000002</v>
      </c>
      <c r="C57">
        <v>15.72</v>
      </c>
      <c r="D57">
        <v>17.239999999999998</v>
      </c>
      <c r="E57">
        <v>16.010000000000002</v>
      </c>
      <c r="F57">
        <v>7.1345707656612301E-2</v>
      </c>
      <c r="G57">
        <v>6.8129955838654999E-3</v>
      </c>
    </row>
    <row r="58" spans="1:7" x14ac:dyDescent="0.3">
      <c r="A58">
        <v>44160</v>
      </c>
      <c r="B58">
        <v>16.48</v>
      </c>
      <c r="C58">
        <v>14.18</v>
      </c>
      <c r="D58">
        <v>16.010000000000002</v>
      </c>
      <c r="E58">
        <v>14.9</v>
      </c>
      <c r="F58">
        <v>6.9331667707682731E-2</v>
      </c>
      <c r="G58">
        <v>5.8811861549142197E-2</v>
      </c>
    </row>
    <row r="59" spans="1:7" x14ac:dyDescent="0.3">
      <c r="A59">
        <v>44161</v>
      </c>
      <c r="B59">
        <v>14.93</v>
      </c>
      <c r="C59">
        <v>13.13</v>
      </c>
      <c r="D59">
        <v>14.89</v>
      </c>
      <c r="E59">
        <v>14.5</v>
      </c>
      <c r="F59">
        <v>2.684563758389269E-2</v>
      </c>
      <c r="G59">
        <v>8.6371619248331477E-2</v>
      </c>
    </row>
    <row r="60" spans="1:7" x14ac:dyDescent="0.3">
      <c r="A60">
        <v>44162</v>
      </c>
      <c r="B60">
        <v>14.65</v>
      </c>
      <c r="C60">
        <v>13.14</v>
      </c>
      <c r="D60">
        <v>14.5</v>
      </c>
      <c r="E60">
        <v>13.38</v>
      </c>
      <c r="F60">
        <v>7.7241379310344804E-2</v>
      </c>
      <c r="G60">
        <v>2.671946484179788E-3</v>
      </c>
    </row>
    <row r="61" spans="1:7" x14ac:dyDescent="0.3">
      <c r="A61">
        <v>44163</v>
      </c>
      <c r="B61">
        <v>13.82</v>
      </c>
      <c r="C61">
        <v>12.6</v>
      </c>
      <c r="D61">
        <v>13.2</v>
      </c>
      <c r="E61">
        <v>13.38</v>
      </c>
      <c r="F61">
        <v>0</v>
      </c>
      <c r="G61">
        <v>-3.6929244646608739E-2</v>
      </c>
    </row>
    <row r="62" spans="1:7" x14ac:dyDescent="0.3">
      <c r="A62">
        <v>44164</v>
      </c>
      <c r="B62">
        <v>14.44</v>
      </c>
      <c r="C62">
        <v>13.13</v>
      </c>
      <c r="D62">
        <v>13.38</v>
      </c>
      <c r="E62">
        <v>14.15</v>
      </c>
      <c r="F62">
        <v>-5.7548579970104541E-2</v>
      </c>
      <c r="G62">
        <v>-5.0354095801037335E-2</v>
      </c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A8AE4-7A1C-4EA2-9F6E-A369EAC7B18F}">
  <sheetPr codeName="Sheet16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44104</v>
      </c>
      <c r="B2">
        <v>14.82</v>
      </c>
      <c r="C2">
        <v>13.99</v>
      </c>
      <c r="D2">
        <v>14.39</v>
      </c>
      <c r="E2">
        <v>14.27</v>
      </c>
      <c r="F2"/>
      <c r="G2"/>
    </row>
    <row r="3" spans="1:7" x14ac:dyDescent="0.3">
      <c r="A3">
        <v>44105</v>
      </c>
      <c r="B3">
        <v>14.35</v>
      </c>
      <c r="C3">
        <v>13.99</v>
      </c>
      <c r="D3">
        <v>14.33</v>
      </c>
      <c r="E3">
        <v>14.05</v>
      </c>
      <c r="F3">
        <v>1.5416958654519863E-2</v>
      </c>
      <c r="G3">
        <v>1.8370296259240804E-2</v>
      </c>
    </row>
    <row r="4" spans="1:7" x14ac:dyDescent="0.3">
      <c r="A4">
        <v>44106</v>
      </c>
      <c r="B4">
        <v>14.51</v>
      </c>
      <c r="C4">
        <v>13.01</v>
      </c>
      <c r="D4">
        <v>14.14</v>
      </c>
      <c r="E4">
        <v>13.44</v>
      </c>
      <c r="F4">
        <v>4.3416370106761693E-2</v>
      </c>
      <c r="G4">
        <v>2.0894085671413598E-2</v>
      </c>
    </row>
    <row r="5" spans="1:7" x14ac:dyDescent="0.3">
      <c r="A5">
        <v>44107</v>
      </c>
      <c r="B5">
        <v>14.12</v>
      </c>
      <c r="C5">
        <v>13.57</v>
      </c>
      <c r="D5">
        <v>13.64</v>
      </c>
      <c r="E5">
        <v>13.97</v>
      </c>
      <c r="F5">
        <v>-3.9434523809523947E-2</v>
      </c>
      <c r="G5">
        <v>-1.4168811265651282E-3</v>
      </c>
    </row>
    <row r="6" spans="1:7" x14ac:dyDescent="0.3">
      <c r="A6">
        <v>44108</v>
      </c>
      <c r="B6">
        <v>14.1</v>
      </c>
      <c r="C6">
        <v>13.55</v>
      </c>
      <c r="D6">
        <v>14.01</v>
      </c>
      <c r="E6">
        <v>13.86</v>
      </c>
      <c r="F6">
        <v>7.8740157480315931E-3</v>
      </c>
      <c r="G6">
        <v>-1.816239316239332E-2</v>
      </c>
    </row>
    <row r="7" spans="1:7" x14ac:dyDescent="0.3">
      <c r="A7">
        <v>44109</v>
      </c>
      <c r="B7">
        <v>15.12</v>
      </c>
      <c r="C7">
        <v>13.8</v>
      </c>
      <c r="D7">
        <v>13.86</v>
      </c>
      <c r="E7">
        <v>14.19</v>
      </c>
      <c r="F7">
        <v>-2.3809523809523725E-2</v>
      </c>
      <c r="G7">
        <v>-3.2613936076684169E-3</v>
      </c>
    </row>
    <row r="8" spans="1:7" x14ac:dyDescent="0.3">
      <c r="A8">
        <v>44110</v>
      </c>
      <c r="B8">
        <v>14.07</v>
      </c>
      <c r="C8">
        <v>13.44</v>
      </c>
      <c r="D8">
        <v>14.21</v>
      </c>
      <c r="E8">
        <v>13.46</v>
      </c>
      <c r="F8">
        <v>5.1444679351655975E-2</v>
      </c>
      <c r="G8">
        <v>3.6493668023518722E-2</v>
      </c>
    </row>
    <row r="9" spans="1:7" x14ac:dyDescent="0.3">
      <c r="A9">
        <v>44111</v>
      </c>
      <c r="B9">
        <v>13.7</v>
      </c>
      <c r="C9">
        <v>13.22</v>
      </c>
      <c r="D9">
        <v>13.46</v>
      </c>
      <c r="E9">
        <v>13.37</v>
      </c>
      <c r="F9">
        <v>6.6864784546806222E-3</v>
      </c>
      <c r="G9">
        <v>-3.1098723778788528E-3</v>
      </c>
    </row>
    <row r="10" spans="1:7" x14ac:dyDescent="0.3">
      <c r="A10">
        <v>44112</v>
      </c>
      <c r="B10">
        <v>14.18</v>
      </c>
      <c r="C10">
        <v>13.63</v>
      </c>
      <c r="D10">
        <v>13.37</v>
      </c>
      <c r="E10">
        <v>13.9</v>
      </c>
      <c r="F10">
        <v>-3.9640987284966345E-2</v>
      </c>
      <c r="G10">
        <v>-2.7170892925038714E-2</v>
      </c>
    </row>
    <row r="11" spans="1:7" x14ac:dyDescent="0.3">
      <c r="A11">
        <v>44113</v>
      </c>
      <c r="B11">
        <v>14.4</v>
      </c>
      <c r="C11">
        <v>13.26</v>
      </c>
      <c r="D11">
        <v>13.55</v>
      </c>
      <c r="E11">
        <v>14.29</v>
      </c>
      <c r="F11">
        <v>-2.8057553956834402E-2</v>
      </c>
      <c r="G11">
        <v>-4.0461275626423765E-2</v>
      </c>
    </row>
    <row r="12" spans="1:7" x14ac:dyDescent="0.3">
      <c r="A12">
        <v>44114</v>
      </c>
      <c r="B12">
        <v>15.02</v>
      </c>
      <c r="C12">
        <v>14.33</v>
      </c>
      <c r="D12">
        <v>14.22</v>
      </c>
      <c r="E12">
        <v>14.34</v>
      </c>
      <c r="F12">
        <v>-3.4989503149056578E-3</v>
      </c>
      <c r="G12">
        <v>-1.4969486330423276E-2</v>
      </c>
    </row>
    <row r="13" spans="1:7" x14ac:dyDescent="0.3">
      <c r="A13">
        <v>44115</v>
      </c>
      <c r="B13">
        <v>14.59</v>
      </c>
      <c r="C13">
        <v>14.23</v>
      </c>
      <c r="D13">
        <v>14.34</v>
      </c>
      <c r="E13">
        <v>14.36</v>
      </c>
      <c r="F13">
        <v>-1.3947001394700731E-3</v>
      </c>
      <c r="G13">
        <v>-9.4100517687663032E-3</v>
      </c>
    </row>
    <row r="14" spans="1:7" x14ac:dyDescent="0.3">
      <c r="A14">
        <v>44116</v>
      </c>
      <c r="B14">
        <v>14.9</v>
      </c>
      <c r="C14">
        <v>14.44</v>
      </c>
      <c r="D14">
        <v>14.36</v>
      </c>
      <c r="E14">
        <v>14.56</v>
      </c>
      <c r="F14">
        <v>-1.3927576601671321E-2</v>
      </c>
      <c r="G14">
        <v>-3.3496273739882954E-2</v>
      </c>
    </row>
    <row r="15" spans="1:7" x14ac:dyDescent="0.3">
      <c r="A15">
        <v>44117</v>
      </c>
      <c r="B15">
        <v>14.54</v>
      </c>
      <c r="C15">
        <v>14</v>
      </c>
      <c r="D15">
        <v>14.56</v>
      </c>
      <c r="E15">
        <v>14.03</v>
      </c>
      <c r="F15">
        <v>3.6401098901098994E-2</v>
      </c>
      <c r="G15">
        <v>1.421519216355227E-2</v>
      </c>
    </row>
    <row r="16" spans="1:7" x14ac:dyDescent="0.3">
      <c r="A16">
        <v>44118</v>
      </c>
      <c r="B16">
        <v>14.34</v>
      </c>
      <c r="C16">
        <v>13.85</v>
      </c>
      <c r="D16">
        <v>14.03</v>
      </c>
      <c r="E16">
        <v>14.04</v>
      </c>
      <c r="F16">
        <v>-7.1275837491091565E-4</v>
      </c>
      <c r="G16">
        <v>6.0302561547941336E-3</v>
      </c>
    </row>
    <row r="17" spans="1:7" x14ac:dyDescent="0.3">
      <c r="A17">
        <v>44119</v>
      </c>
      <c r="B17">
        <v>14.18</v>
      </c>
      <c r="C17">
        <v>13.69</v>
      </c>
      <c r="D17">
        <v>14.04</v>
      </c>
      <c r="E17">
        <v>13.82</v>
      </c>
      <c r="F17">
        <v>1.5669515669515577E-2</v>
      </c>
      <c r="G17">
        <v>3.7192371607185359E-3</v>
      </c>
    </row>
    <row r="18" spans="1:7" x14ac:dyDescent="0.3">
      <c r="A18">
        <v>44120</v>
      </c>
      <c r="B18">
        <v>13.77</v>
      </c>
      <c r="C18">
        <v>13.41</v>
      </c>
      <c r="D18">
        <v>13.82</v>
      </c>
      <c r="E18">
        <v>13.58</v>
      </c>
      <c r="F18">
        <v>1.7366136034732249E-2</v>
      </c>
      <c r="G18">
        <v>3.2088959491660018E-2</v>
      </c>
    </row>
    <row r="19" spans="1:7" x14ac:dyDescent="0.3">
      <c r="A19">
        <v>44121</v>
      </c>
      <c r="B19">
        <v>13.83</v>
      </c>
      <c r="C19">
        <v>13.54</v>
      </c>
      <c r="D19">
        <v>13.58</v>
      </c>
      <c r="E19">
        <v>13.79</v>
      </c>
      <c r="F19">
        <v>-1.5463917525773141E-2</v>
      </c>
      <c r="G19">
        <v>-8.3976147491657827E-3</v>
      </c>
    </row>
    <row r="20" spans="1:7" x14ac:dyDescent="0.3">
      <c r="A20">
        <v>44122</v>
      </c>
      <c r="B20">
        <v>14.01</v>
      </c>
      <c r="C20">
        <v>13.56</v>
      </c>
      <c r="D20">
        <v>13.79</v>
      </c>
      <c r="E20">
        <v>13.62</v>
      </c>
      <c r="F20">
        <v>1.2327773749093551E-2</v>
      </c>
      <c r="G20">
        <v>-2.6556354265563575E-2</v>
      </c>
    </row>
    <row r="21" spans="1:7" x14ac:dyDescent="0.3">
      <c r="A21">
        <v>44123</v>
      </c>
      <c r="B21">
        <v>14.13</v>
      </c>
      <c r="C21">
        <v>13.47</v>
      </c>
      <c r="D21">
        <v>13.62</v>
      </c>
      <c r="E21">
        <v>13.74</v>
      </c>
      <c r="F21">
        <v>-8.8105726872247381E-3</v>
      </c>
      <c r="G21">
        <v>-2.5631540006343378E-3</v>
      </c>
    </row>
    <row r="22" spans="1:7" x14ac:dyDescent="0.3">
      <c r="A22">
        <v>44124</v>
      </c>
      <c r="B22">
        <v>13.95</v>
      </c>
      <c r="C22">
        <v>13.05</v>
      </c>
      <c r="D22">
        <v>13.74</v>
      </c>
      <c r="E22">
        <v>13.05</v>
      </c>
      <c r="F22">
        <v>5.0218340611353662E-2</v>
      </c>
      <c r="G22">
        <v>2.8122611422998878E-2</v>
      </c>
    </row>
    <row r="23" spans="1:7" x14ac:dyDescent="0.3">
      <c r="A23">
        <v>44125</v>
      </c>
      <c r="B23">
        <v>14.33</v>
      </c>
      <c r="C23">
        <v>13.42</v>
      </c>
      <c r="D23">
        <v>13.05</v>
      </c>
      <c r="E23">
        <v>13.72</v>
      </c>
      <c r="F23">
        <v>-5.1340996168582453E-2</v>
      </c>
      <c r="G23">
        <v>-6.1615230243531993E-2</v>
      </c>
    </row>
    <row r="24" spans="1:7" x14ac:dyDescent="0.3">
      <c r="A24">
        <v>44126</v>
      </c>
      <c r="B24">
        <v>14.08</v>
      </c>
      <c r="C24">
        <v>13.54</v>
      </c>
      <c r="D24">
        <v>13.72</v>
      </c>
      <c r="E24">
        <v>13.67</v>
      </c>
      <c r="F24">
        <v>3.6443148688046767E-3</v>
      </c>
      <c r="G24">
        <v>-5.8856588157155221E-2</v>
      </c>
    </row>
    <row r="25" spans="1:7" x14ac:dyDescent="0.3">
      <c r="A25">
        <v>44127</v>
      </c>
      <c r="B25">
        <v>13.77</v>
      </c>
      <c r="C25">
        <v>13.48</v>
      </c>
      <c r="D25">
        <v>13.67</v>
      </c>
      <c r="E25">
        <v>13.58</v>
      </c>
      <c r="F25">
        <v>6.5837600585223477E-3</v>
      </c>
      <c r="G25">
        <v>1.189384800965021E-2</v>
      </c>
    </row>
    <row r="26" spans="1:7" x14ac:dyDescent="0.3">
      <c r="A26">
        <v>44128</v>
      </c>
      <c r="B26">
        <v>13.94</v>
      </c>
      <c r="C26">
        <v>13.56</v>
      </c>
      <c r="D26">
        <v>13.58</v>
      </c>
      <c r="E26">
        <v>13.57</v>
      </c>
      <c r="F26">
        <v>7.3637702503681624E-4</v>
      </c>
      <c r="G26">
        <v>-7.275923529555417E-3</v>
      </c>
    </row>
    <row r="27" spans="1:7" x14ac:dyDescent="0.3">
      <c r="A27">
        <v>44129</v>
      </c>
      <c r="B27">
        <v>13.64</v>
      </c>
      <c r="C27">
        <v>13.3</v>
      </c>
      <c r="D27">
        <v>13.57</v>
      </c>
      <c r="E27">
        <v>13.43</v>
      </c>
      <c r="F27">
        <v>1.0316875460574804E-2</v>
      </c>
      <c r="G27">
        <v>1.5004241910071547E-2</v>
      </c>
    </row>
    <row r="28" spans="1:7" x14ac:dyDescent="0.3">
      <c r="A28">
        <v>44130</v>
      </c>
      <c r="B28">
        <v>13.5</v>
      </c>
      <c r="C28">
        <v>13.01</v>
      </c>
      <c r="D28">
        <v>13.43</v>
      </c>
      <c r="E28">
        <v>13.07</v>
      </c>
      <c r="F28">
        <v>2.6805658972449686E-2</v>
      </c>
      <c r="G28">
        <v>3.2606555763362577E-2</v>
      </c>
    </row>
    <row r="29" spans="1:7" x14ac:dyDescent="0.3">
      <c r="A29">
        <v>44131</v>
      </c>
      <c r="B29">
        <v>13.69</v>
      </c>
      <c r="C29">
        <v>13.05</v>
      </c>
      <c r="D29">
        <v>13.07</v>
      </c>
      <c r="E29">
        <v>13.19</v>
      </c>
      <c r="F29">
        <v>-9.1813312930373314E-3</v>
      </c>
      <c r="G29">
        <v>-2.7040777390552329E-2</v>
      </c>
    </row>
    <row r="30" spans="1:7" x14ac:dyDescent="0.3">
      <c r="A30">
        <v>44132</v>
      </c>
      <c r="B30">
        <v>12.9</v>
      </c>
      <c r="C30">
        <v>12.41</v>
      </c>
      <c r="D30">
        <v>13.19</v>
      </c>
      <c r="E30">
        <v>12.68</v>
      </c>
      <c r="F30">
        <v>3.8665655799848375E-2</v>
      </c>
      <c r="G30">
        <v>3.7078317729231758E-2</v>
      </c>
    </row>
    <row r="31" spans="1:7" x14ac:dyDescent="0.3">
      <c r="A31">
        <v>44133</v>
      </c>
      <c r="B31">
        <v>13.64</v>
      </c>
      <c r="C31">
        <v>12.61</v>
      </c>
      <c r="D31">
        <v>12.68</v>
      </c>
      <c r="E31">
        <v>12.71</v>
      </c>
      <c r="F31">
        <v>-2.3659305993690705E-3</v>
      </c>
      <c r="G31">
        <v>3.163824369164181E-3</v>
      </c>
    </row>
    <row r="32" spans="1:7" x14ac:dyDescent="0.3">
      <c r="A32">
        <v>44134</v>
      </c>
      <c r="B32">
        <v>12.85</v>
      </c>
      <c r="C32">
        <v>12.36</v>
      </c>
      <c r="D32">
        <v>12.71</v>
      </c>
      <c r="E32">
        <v>12.54</v>
      </c>
      <c r="F32">
        <v>1.3375295043273172E-2</v>
      </c>
      <c r="G32">
        <v>1.2334210662125256E-2</v>
      </c>
    </row>
    <row r="33" spans="1:7" x14ac:dyDescent="0.3">
      <c r="A33">
        <v>44135</v>
      </c>
      <c r="B33">
        <v>12.88</v>
      </c>
      <c r="C33">
        <v>12.38</v>
      </c>
      <c r="D33">
        <v>12.54</v>
      </c>
      <c r="E33">
        <v>12.61</v>
      </c>
      <c r="F33">
        <v>-5.5821371610844661E-3</v>
      </c>
      <c r="G33">
        <v>-1.0476538823283477E-2</v>
      </c>
    </row>
    <row r="34" spans="1:7" x14ac:dyDescent="0.3">
      <c r="A34">
        <v>44136</v>
      </c>
      <c r="B34">
        <v>13.15</v>
      </c>
      <c r="C34">
        <v>12.51</v>
      </c>
      <c r="D34">
        <v>12.61</v>
      </c>
      <c r="E34">
        <v>12.93</v>
      </c>
      <c r="F34">
        <v>-2.5376685170499735E-2</v>
      </c>
      <c r="G34">
        <v>-2.5803449078263707E-2</v>
      </c>
    </row>
    <row r="35" spans="1:7" x14ac:dyDescent="0.3">
      <c r="A35">
        <v>44137</v>
      </c>
      <c r="B35">
        <v>13.98</v>
      </c>
      <c r="C35">
        <v>12.55</v>
      </c>
      <c r="D35">
        <v>12.93</v>
      </c>
      <c r="E35">
        <v>12.84</v>
      </c>
      <c r="F35">
        <v>6.9605568445475496E-3</v>
      </c>
      <c r="G35">
        <v>3.3119092627599156E-2</v>
      </c>
    </row>
    <row r="36" spans="1:7" x14ac:dyDescent="0.3">
      <c r="A36">
        <v>44138</v>
      </c>
      <c r="B36">
        <v>16.760000000000002</v>
      </c>
      <c r="C36">
        <v>13.32</v>
      </c>
      <c r="D36">
        <v>14.47</v>
      </c>
      <c r="E36">
        <v>14.3</v>
      </c>
      <c r="F36">
        <v>-0.11370716510903423</v>
      </c>
      <c r="G36">
        <v>-1.191314095044449E-2</v>
      </c>
    </row>
    <row r="37" spans="1:7" x14ac:dyDescent="0.3">
      <c r="A37">
        <v>44139</v>
      </c>
      <c r="B37">
        <v>15.59</v>
      </c>
      <c r="C37">
        <v>14.11</v>
      </c>
      <c r="D37">
        <v>14.3</v>
      </c>
      <c r="E37">
        <v>14.49</v>
      </c>
      <c r="F37">
        <v>-1.3286713286713159E-2</v>
      </c>
      <c r="G37">
        <v>-3.730228244628786E-2</v>
      </c>
    </row>
    <row r="38" spans="1:7" x14ac:dyDescent="0.3">
      <c r="A38">
        <v>44140</v>
      </c>
      <c r="B38">
        <v>15.65</v>
      </c>
      <c r="C38">
        <v>13.42</v>
      </c>
      <c r="D38">
        <v>14.2</v>
      </c>
      <c r="E38">
        <v>13.48</v>
      </c>
      <c r="F38">
        <v>6.9703243616287103E-2</v>
      </c>
      <c r="G38">
        <v>-3.5339989072666667E-2</v>
      </c>
    </row>
    <row r="39" spans="1:7" x14ac:dyDescent="0.3">
      <c r="A39">
        <v>44141</v>
      </c>
      <c r="B39">
        <v>14.12</v>
      </c>
      <c r="C39">
        <v>13.37</v>
      </c>
      <c r="D39">
        <v>13.48</v>
      </c>
      <c r="E39">
        <v>13.85</v>
      </c>
      <c r="F39">
        <v>-2.7448071216617187E-2</v>
      </c>
      <c r="G39">
        <v>-9.4581304420830348E-2</v>
      </c>
    </row>
    <row r="40" spans="1:7" x14ac:dyDescent="0.3">
      <c r="A40">
        <v>44142</v>
      </c>
      <c r="B40">
        <v>13.65</v>
      </c>
      <c r="C40">
        <v>13.08</v>
      </c>
      <c r="D40">
        <v>13.85</v>
      </c>
      <c r="E40">
        <v>13.31</v>
      </c>
      <c r="F40">
        <v>3.8989169675090141E-2</v>
      </c>
      <c r="G40">
        <v>4.4924614305750343E-2</v>
      </c>
    </row>
    <row r="41" spans="1:7" x14ac:dyDescent="0.3">
      <c r="A41">
        <v>44143</v>
      </c>
      <c r="B41">
        <v>13.9</v>
      </c>
      <c r="C41">
        <v>13.58</v>
      </c>
      <c r="D41">
        <v>13.31</v>
      </c>
      <c r="E41">
        <v>13.66</v>
      </c>
      <c r="F41">
        <v>-2.6296018031555235E-2</v>
      </c>
      <c r="G41">
        <v>-4.3412417970721817E-2</v>
      </c>
    </row>
    <row r="42" spans="1:7" x14ac:dyDescent="0.3">
      <c r="A42">
        <v>44144</v>
      </c>
      <c r="B42">
        <v>16.71</v>
      </c>
      <c r="C42">
        <v>13.44</v>
      </c>
      <c r="D42">
        <v>13.89</v>
      </c>
      <c r="E42">
        <v>15.47</v>
      </c>
      <c r="F42">
        <v>-0.13250366032210836</v>
      </c>
      <c r="G42">
        <v>2.2628315081145267E-2</v>
      </c>
    </row>
    <row r="43" spans="1:7" x14ac:dyDescent="0.3">
      <c r="A43">
        <v>44145</v>
      </c>
      <c r="B43">
        <v>16.989999999999998</v>
      </c>
      <c r="C43">
        <v>14.49</v>
      </c>
      <c r="D43">
        <v>15.47</v>
      </c>
      <c r="E43">
        <v>15.64</v>
      </c>
      <c r="F43">
        <v>-1.098901098901095E-2</v>
      </c>
      <c r="G43">
        <v>-1.4422319721003607E-2</v>
      </c>
    </row>
    <row r="44" spans="1:7" x14ac:dyDescent="0.3">
      <c r="A44">
        <v>44146</v>
      </c>
      <c r="B44">
        <v>15</v>
      </c>
      <c r="C44">
        <v>14.27</v>
      </c>
      <c r="D44">
        <v>14.17</v>
      </c>
      <c r="E44">
        <v>14.98</v>
      </c>
      <c r="F44">
        <v>4.2199488491048598E-2</v>
      </c>
      <c r="G44">
        <v>-2.8944683493767442E-2</v>
      </c>
    </row>
    <row r="45" spans="1:7" x14ac:dyDescent="0.3">
      <c r="A45">
        <v>44147</v>
      </c>
      <c r="B45">
        <v>16.89</v>
      </c>
      <c r="C45">
        <v>14.85</v>
      </c>
      <c r="D45">
        <v>16.420000000000002</v>
      </c>
      <c r="E45">
        <v>14.94</v>
      </c>
      <c r="F45">
        <v>2.6702269692924219E-3</v>
      </c>
      <c r="G45">
        <v>2.4358172921472576E-3</v>
      </c>
    </row>
    <row r="46" spans="1:7" x14ac:dyDescent="0.3">
      <c r="A46">
        <v>44148</v>
      </c>
      <c r="B46">
        <v>15.89</v>
      </c>
      <c r="C46">
        <v>14.54</v>
      </c>
      <c r="D46">
        <v>14.94</v>
      </c>
      <c r="E46">
        <v>15.19</v>
      </c>
      <c r="F46">
        <v>-1.6733601070950455E-2</v>
      </c>
      <c r="G46">
        <v>-3.0446432430096371E-2</v>
      </c>
    </row>
    <row r="47" spans="1:7" x14ac:dyDescent="0.3">
      <c r="A47">
        <v>44149</v>
      </c>
      <c r="B47">
        <v>16.399999999999999</v>
      </c>
      <c r="C47">
        <v>14.78</v>
      </c>
      <c r="D47">
        <v>15.19</v>
      </c>
      <c r="E47">
        <v>15.94</v>
      </c>
      <c r="F47">
        <v>-4.9374588545095355E-2</v>
      </c>
      <c r="G47">
        <v>3.3216599911925715E-2</v>
      </c>
    </row>
    <row r="48" spans="1:7" x14ac:dyDescent="0.3">
      <c r="A48">
        <v>44150</v>
      </c>
      <c r="B48">
        <v>16.54</v>
      </c>
      <c r="C48">
        <v>15.53</v>
      </c>
      <c r="D48">
        <v>15.94</v>
      </c>
      <c r="E48">
        <v>15.77</v>
      </c>
      <c r="F48">
        <v>1.0664993726474226E-2</v>
      </c>
      <c r="G48">
        <v>2.7156584170227482E-2</v>
      </c>
    </row>
    <row r="49" spans="1:7" x14ac:dyDescent="0.3">
      <c r="A49">
        <v>44151</v>
      </c>
      <c r="B49">
        <v>17.47</v>
      </c>
      <c r="C49">
        <v>15.69</v>
      </c>
      <c r="D49">
        <v>15.77</v>
      </c>
      <c r="E49">
        <v>17.28</v>
      </c>
      <c r="F49">
        <v>-9.5751426759670411E-2</v>
      </c>
      <c r="G49">
        <v>-2.7870058638603368E-2</v>
      </c>
    </row>
    <row r="50" spans="1:7" x14ac:dyDescent="0.3">
      <c r="A50">
        <v>44152</v>
      </c>
      <c r="B50">
        <v>17.39</v>
      </c>
      <c r="C50">
        <v>15.9</v>
      </c>
      <c r="D50">
        <v>17.28</v>
      </c>
      <c r="E50">
        <v>16.57</v>
      </c>
      <c r="F50">
        <v>4.1087962962963021E-2</v>
      </c>
      <c r="G50">
        <v>-4.7070562460684195E-2</v>
      </c>
    </row>
    <row r="51" spans="1:7" x14ac:dyDescent="0.3">
      <c r="A51">
        <v>44153</v>
      </c>
      <c r="B51">
        <v>15.79</v>
      </c>
      <c r="C51">
        <v>14.71</v>
      </c>
      <c r="D51">
        <v>15.6</v>
      </c>
      <c r="E51">
        <v>15.34</v>
      </c>
      <c r="F51">
        <v>7.4230537115268613E-2</v>
      </c>
      <c r="G51">
        <v>8.1829669988191522E-3</v>
      </c>
    </row>
    <row r="52" spans="1:7" x14ac:dyDescent="0.3">
      <c r="A52">
        <v>44154</v>
      </c>
      <c r="B52">
        <v>15.5</v>
      </c>
      <c r="C52">
        <v>14.73</v>
      </c>
      <c r="D52">
        <v>15.34</v>
      </c>
      <c r="E52">
        <v>14.94</v>
      </c>
      <c r="F52">
        <v>2.6075619295958252E-2</v>
      </c>
      <c r="G52">
        <v>1.4495780766981325E-2</v>
      </c>
    </row>
    <row r="53" spans="1:7" x14ac:dyDescent="0.3">
      <c r="A53">
        <v>44155</v>
      </c>
      <c r="B53">
        <v>16.059999999999999</v>
      </c>
      <c r="C53">
        <v>15.36</v>
      </c>
      <c r="D53">
        <v>14.94</v>
      </c>
      <c r="E53">
        <v>15.59</v>
      </c>
      <c r="F53">
        <v>-4.3507362784471315E-2</v>
      </c>
      <c r="G53">
        <v>-8.1832054597092085E-2</v>
      </c>
    </row>
    <row r="54" spans="1:7" x14ac:dyDescent="0.3">
      <c r="A54">
        <v>44156</v>
      </c>
      <c r="B54">
        <v>16.87</v>
      </c>
      <c r="C54">
        <v>15.47</v>
      </c>
      <c r="D54">
        <v>16.03</v>
      </c>
      <c r="E54">
        <v>16.62</v>
      </c>
      <c r="F54">
        <v>-6.6067992302758283E-2</v>
      </c>
      <c r="G54">
        <v>-8.195051231314765E-2</v>
      </c>
    </row>
    <row r="55" spans="1:7" x14ac:dyDescent="0.3">
      <c r="A55">
        <v>44157</v>
      </c>
      <c r="B55">
        <v>16.93</v>
      </c>
      <c r="C55">
        <v>15.89</v>
      </c>
      <c r="D55">
        <v>16.62</v>
      </c>
      <c r="E55">
        <v>16.2</v>
      </c>
      <c r="F55">
        <v>2.5270758122743819E-2</v>
      </c>
      <c r="G55">
        <v>-1.4033245210589129E-2</v>
      </c>
    </row>
    <row r="56" spans="1:7" x14ac:dyDescent="0.3">
      <c r="A56">
        <v>44158</v>
      </c>
      <c r="B56">
        <v>16.97</v>
      </c>
      <c r="C56">
        <v>16.100000000000001</v>
      </c>
      <c r="D56">
        <v>16.2</v>
      </c>
      <c r="E56">
        <v>16.77</v>
      </c>
      <c r="F56">
        <v>-3.5185185185185208E-2</v>
      </c>
      <c r="G56">
        <v>-8.7712719415724782E-2</v>
      </c>
    </row>
    <row r="57" spans="1:7" x14ac:dyDescent="0.3">
      <c r="A57">
        <v>44159</v>
      </c>
      <c r="B57">
        <v>17.98</v>
      </c>
      <c r="C57">
        <v>16.739999999999998</v>
      </c>
      <c r="D57">
        <v>16.77</v>
      </c>
      <c r="E57">
        <v>17.75</v>
      </c>
      <c r="F57">
        <v>-5.8437686344663176E-2</v>
      </c>
      <c r="G57">
        <v>6.8129955838654999E-3</v>
      </c>
    </row>
    <row r="58" spans="1:7" x14ac:dyDescent="0.3">
      <c r="A58">
        <v>44160</v>
      </c>
      <c r="B58">
        <v>17.329999999999998</v>
      </c>
      <c r="C58">
        <v>16.18</v>
      </c>
      <c r="D58">
        <v>17.420000000000002</v>
      </c>
      <c r="E58">
        <v>16.34</v>
      </c>
      <c r="F58">
        <v>7.9436619718309842E-2</v>
      </c>
      <c r="G58">
        <v>5.8811861549142197E-2</v>
      </c>
    </row>
    <row r="59" spans="1:7" x14ac:dyDescent="0.3">
      <c r="A59">
        <v>44161</v>
      </c>
      <c r="B59">
        <v>16.78</v>
      </c>
      <c r="C59">
        <v>13.76</v>
      </c>
      <c r="D59">
        <v>16.260000000000002</v>
      </c>
      <c r="E59">
        <v>14.8</v>
      </c>
      <c r="F59">
        <v>9.4247246022031828E-2</v>
      </c>
      <c r="G59">
        <v>8.6371619248331477E-2</v>
      </c>
    </row>
    <row r="60" spans="1:7" x14ac:dyDescent="0.3">
      <c r="A60">
        <v>44162</v>
      </c>
      <c r="B60">
        <v>15.06</v>
      </c>
      <c r="C60">
        <v>14.64</v>
      </c>
      <c r="D60">
        <v>14.71</v>
      </c>
      <c r="E60">
        <v>14.74</v>
      </c>
      <c r="F60">
        <v>4.0540540540541237E-3</v>
      </c>
      <c r="G60">
        <v>2.671946484179788E-3</v>
      </c>
    </row>
    <row r="61" spans="1:7" x14ac:dyDescent="0.3">
      <c r="A61">
        <v>44163</v>
      </c>
      <c r="B61">
        <v>15.76</v>
      </c>
      <c r="C61">
        <v>15.22</v>
      </c>
      <c r="D61">
        <v>14.74</v>
      </c>
      <c r="E61">
        <v>15.34</v>
      </c>
      <c r="F61">
        <v>-4.0705563093622832E-2</v>
      </c>
      <c r="G61">
        <v>-3.6929244646608739E-2</v>
      </c>
    </row>
    <row r="62" spans="1:7" x14ac:dyDescent="0.3">
      <c r="A62">
        <v>44164</v>
      </c>
      <c r="B62">
        <v>16.79</v>
      </c>
      <c r="C62">
        <v>15.18</v>
      </c>
      <c r="D62">
        <v>15.66</v>
      </c>
      <c r="E62">
        <v>15.66</v>
      </c>
      <c r="F62">
        <v>-2.0860495436766602E-2</v>
      </c>
      <c r="G62">
        <v>-5.0354095801037335E-2</v>
      </c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05879-DA8C-4F0D-AE58-A5778D7BB53A}">
  <sheetPr codeName="Sheet17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44104</v>
      </c>
      <c r="B2">
        <v>10.220000000000001</v>
      </c>
      <c r="C2">
        <v>9.5820000000000007</v>
      </c>
      <c r="D2">
        <v>10.14</v>
      </c>
      <c r="E2">
        <v>9.8670000000000009</v>
      </c>
      <c r="F2"/>
      <c r="G2"/>
    </row>
    <row r="3" spans="1:7" x14ac:dyDescent="0.3">
      <c r="A3">
        <v>44105</v>
      </c>
      <c r="B3">
        <v>10.42</v>
      </c>
      <c r="C3">
        <v>9.3209999999999997</v>
      </c>
      <c r="D3">
        <v>9.8670000000000009</v>
      </c>
      <c r="E3">
        <v>9.6530000000000005</v>
      </c>
      <c r="F3">
        <v>2.1688456471065209E-2</v>
      </c>
      <c r="G3">
        <v>1.8370296259240804E-2</v>
      </c>
    </row>
    <row r="4" spans="1:7" x14ac:dyDescent="0.3">
      <c r="A4">
        <v>44106</v>
      </c>
      <c r="B4">
        <v>9.8350000000000009</v>
      </c>
      <c r="C4">
        <v>8.8119999999999994</v>
      </c>
      <c r="D4">
        <v>9.6530000000000005</v>
      </c>
      <c r="E4">
        <v>9.218</v>
      </c>
      <c r="F4">
        <v>4.5063710763493248E-2</v>
      </c>
      <c r="G4">
        <v>2.0894085671413598E-2</v>
      </c>
    </row>
    <row r="5" spans="1:7" x14ac:dyDescent="0.3">
      <c r="A5">
        <v>44107</v>
      </c>
      <c r="B5">
        <v>9.5500000000000007</v>
      </c>
      <c r="C5">
        <v>9.1170000000000009</v>
      </c>
      <c r="D5">
        <v>9.218</v>
      </c>
      <c r="E5">
        <v>9.2710000000000008</v>
      </c>
      <c r="F5">
        <v>-5.7496203080928954E-3</v>
      </c>
      <c r="G5">
        <v>-1.4168811265651282E-3</v>
      </c>
    </row>
    <row r="6" spans="1:7" x14ac:dyDescent="0.3">
      <c r="A6">
        <v>44108</v>
      </c>
      <c r="B6">
        <v>9.4570000000000007</v>
      </c>
      <c r="C6">
        <v>9.1289999999999996</v>
      </c>
      <c r="D6">
        <v>9.2710000000000008</v>
      </c>
      <c r="E6">
        <v>9.3960000000000008</v>
      </c>
      <c r="F6">
        <v>-1.3482903678136093E-2</v>
      </c>
      <c r="G6">
        <v>-1.816239316239332E-2</v>
      </c>
    </row>
    <row r="7" spans="1:7" x14ac:dyDescent="0.3">
      <c r="A7">
        <v>44109</v>
      </c>
      <c r="B7">
        <v>9.7240000000000002</v>
      </c>
      <c r="C7">
        <v>9.2769999999999992</v>
      </c>
      <c r="D7">
        <v>9.3960000000000008</v>
      </c>
      <c r="E7">
        <v>9.6069999999999993</v>
      </c>
      <c r="F7">
        <v>-2.2456364410387231E-2</v>
      </c>
      <c r="G7">
        <v>-3.2613936076684169E-3</v>
      </c>
    </row>
    <row r="8" spans="1:7" x14ac:dyDescent="0.3">
      <c r="A8">
        <v>44110</v>
      </c>
      <c r="B8">
        <v>9.6590000000000007</v>
      </c>
      <c r="C8">
        <v>8.5690000000000008</v>
      </c>
      <c r="D8">
        <v>9.6069999999999993</v>
      </c>
      <c r="E8">
        <v>8.7720000000000002</v>
      </c>
      <c r="F8">
        <v>8.6915790569376372E-2</v>
      </c>
      <c r="G8">
        <v>3.6493668023518722E-2</v>
      </c>
    </row>
    <row r="9" spans="1:7" x14ac:dyDescent="0.3">
      <c r="A9">
        <v>44111</v>
      </c>
      <c r="B9">
        <v>9.0280000000000005</v>
      </c>
      <c r="C9">
        <v>8.3870000000000005</v>
      </c>
      <c r="D9">
        <v>8.7720000000000002</v>
      </c>
      <c r="E9">
        <v>8.9760000000000009</v>
      </c>
      <c r="F9">
        <v>-2.3255813953488413E-2</v>
      </c>
      <c r="G9">
        <v>-3.1098723778788528E-3</v>
      </c>
    </row>
    <row r="10" spans="1:7" x14ac:dyDescent="0.3">
      <c r="A10">
        <v>44112</v>
      </c>
      <c r="B10">
        <v>9.6829999999999998</v>
      </c>
      <c r="C10">
        <v>8.44</v>
      </c>
      <c r="D10">
        <v>8.9760000000000009</v>
      </c>
      <c r="E10">
        <v>9.5589999999999993</v>
      </c>
      <c r="F10">
        <v>-6.4950980392156632E-2</v>
      </c>
      <c r="G10">
        <v>-2.7170892925038714E-2</v>
      </c>
    </row>
    <row r="11" spans="1:7" x14ac:dyDescent="0.3">
      <c r="A11">
        <v>44113</v>
      </c>
      <c r="B11">
        <v>10.52</v>
      </c>
      <c r="C11">
        <v>9.3770000000000007</v>
      </c>
      <c r="D11">
        <v>9.5589999999999993</v>
      </c>
      <c r="E11">
        <v>10.41</v>
      </c>
      <c r="F11">
        <v>-8.9026048749869302E-2</v>
      </c>
      <c r="G11">
        <v>-4.0461275626423765E-2</v>
      </c>
    </row>
    <row r="12" spans="1:7" x14ac:dyDescent="0.3">
      <c r="A12">
        <v>44114</v>
      </c>
      <c r="B12">
        <v>10.93</v>
      </c>
      <c r="C12">
        <v>10.35</v>
      </c>
      <c r="D12">
        <v>10.41</v>
      </c>
      <c r="E12">
        <v>10.52</v>
      </c>
      <c r="F12">
        <v>-1.0566762728146051E-2</v>
      </c>
      <c r="G12">
        <v>-1.4969486330423276E-2</v>
      </c>
    </row>
    <row r="13" spans="1:7" x14ac:dyDescent="0.3">
      <c r="A13">
        <v>44115</v>
      </c>
      <c r="B13">
        <v>11.05</v>
      </c>
      <c r="C13">
        <v>10.11</v>
      </c>
      <c r="D13">
        <v>10.52</v>
      </c>
      <c r="E13">
        <v>10.86</v>
      </c>
      <c r="F13">
        <v>-3.2319391634980876E-2</v>
      </c>
      <c r="G13">
        <v>-9.4100517687663032E-3</v>
      </c>
    </row>
    <row r="14" spans="1:7" x14ac:dyDescent="0.3">
      <c r="A14">
        <v>44116</v>
      </c>
      <c r="B14">
        <v>11.82</v>
      </c>
      <c r="C14">
        <v>10.69</v>
      </c>
      <c r="D14">
        <v>10.86</v>
      </c>
      <c r="E14">
        <v>11.43</v>
      </c>
      <c r="F14">
        <v>-5.2486187845303789E-2</v>
      </c>
      <c r="G14">
        <v>-3.3496273739882954E-2</v>
      </c>
    </row>
    <row r="15" spans="1:7" x14ac:dyDescent="0.3">
      <c r="A15">
        <v>44117</v>
      </c>
      <c r="B15">
        <v>11.59</v>
      </c>
      <c r="C15">
        <v>10.58</v>
      </c>
      <c r="D15">
        <v>11.43</v>
      </c>
      <c r="E15">
        <v>11.01</v>
      </c>
      <c r="F15">
        <v>3.6745406824146953E-2</v>
      </c>
      <c r="G15">
        <v>1.421519216355227E-2</v>
      </c>
    </row>
    <row r="16" spans="1:7" x14ac:dyDescent="0.3">
      <c r="A16">
        <v>44118</v>
      </c>
      <c r="B16">
        <v>11.35</v>
      </c>
      <c r="C16">
        <v>10.63</v>
      </c>
      <c r="D16">
        <v>11.01</v>
      </c>
      <c r="E16">
        <v>10.9</v>
      </c>
      <c r="F16">
        <v>9.9909173478655022E-3</v>
      </c>
      <c r="G16">
        <v>6.0302561547941336E-3</v>
      </c>
    </row>
    <row r="17" spans="1:7" x14ac:dyDescent="0.3">
      <c r="A17">
        <v>44119</v>
      </c>
      <c r="B17">
        <v>10.92</v>
      </c>
      <c r="C17">
        <v>10.48</v>
      </c>
      <c r="D17">
        <v>10.9</v>
      </c>
      <c r="E17">
        <v>10.75</v>
      </c>
      <c r="F17">
        <v>1.3761467889908285E-2</v>
      </c>
      <c r="G17">
        <v>3.7192371607185359E-3</v>
      </c>
    </row>
    <row r="18" spans="1:7" x14ac:dyDescent="0.3">
      <c r="A18">
        <v>44120</v>
      </c>
      <c r="B18">
        <v>10.9</v>
      </c>
      <c r="C18">
        <v>10.29</v>
      </c>
      <c r="D18">
        <v>10.75</v>
      </c>
      <c r="E18">
        <v>10.59</v>
      </c>
      <c r="F18">
        <v>1.4883720930232602E-2</v>
      </c>
      <c r="G18">
        <v>3.2088959491660018E-2</v>
      </c>
    </row>
    <row r="19" spans="1:7" x14ac:dyDescent="0.3">
      <c r="A19">
        <v>44121</v>
      </c>
      <c r="B19">
        <v>10.72</v>
      </c>
      <c r="C19">
        <v>10.43</v>
      </c>
      <c r="D19">
        <v>10.59</v>
      </c>
      <c r="E19">
        <v>10.63</v>
      </c>
      <c r="F19">
        <v>-3.7771482530690736E-3</v>
      </c>
      <c r="G19">
        <v>-8.3976147491657827E-3</v>
      </c>
    </row>
    <row r="20" spans="1:7" x14ac:dyDescent="0.3">
      <c r="A20">
        <v>44122</v>
      </c>
      <c r="B20">
        <v>10.99</v>
      </c>
      <c r="C20">
        <v>10.61</v>
      </c>
      <c r="D20">
        <v>10.63</v>
      </c>
      <c r="E20">
        <v>10.95</v>
      </c>
      <c r="F20">
        <v>-3.0103480714957609E-2</v>
      </c>
      <c r="G20">
        <v>-2.6556354265563575E-2</v>
      </c>
    </row>
    <row r="21" spans="1:7" x14ac:dyDescent="0.3">
      <c r="A21">
        <v>44123</v>
      </c>
      <c r="B21">
        <v>11.23</v>
      </c>
      <c r="C21">
        <v>10.66</v>
      </c>
      <c r="D21">
        <v>10.95</v>
      </c>
      <c r="E21">
        <v>10.92</v>
      </c>
      <c r="F21">
        <v>2.739726027397249E-3</v>
      </c>
      <c r="G21">
        <v>-2.5631540006343378E-3</v>
      </c>
    </row>
    <row r="22" spans="1:7" x14ac:dyDescent="0.3">
      <c r="A22">
        <v>44124</v>
      </c>
      <c r="B22">
        <v>10.94</v>
      </c>
      <c r="C22">
        <v>9.7889999999999997</v>
      </c>
      <c r="D22">
        <v>10.92</v>
      </c>
      <c r="E22">
        <v>9.8699999999999992</v>
      </c>
      <c r="F22">
        <v>9.6153846153846256E-2</v>
      </c>
      <c r="G22">
        <v>2.8122611422998878E-2</v>
      </c>
    </row>
    <row r="23" spans="1:7" x14ac:dyDescent="0.3">
      <c r="A23">
        <v>44125</v>
      </c>
      <c r="B23">
        <v>11.18</v>
      </c>
      <c r="C23">
        <v>9.81</v>
      </c>
      <c r="D23">
        <v>9.8699999999999992</v>
      </c>
      <c r="E23">
        <v>10.82</v>
      </c>
      <c r="F23">
        <v>-9.6251266464032481E-2</v>
      </c>
      <c r="G23">
        <v>-6.1615230243531993E-2</v>
      </c>
    </row>
    <row r="24" spans="1:7" x14ac:dyDescent="0.3">
      <c r="A24">
        <v>44126</v>
      </c>
      <c r="B24">
        <v>12.44</v>
      </c>
      <c r="C24">
        <v>10.73</v>
      </c>
      <c r="D24">
        <v>10.82</v>
      </c>
      <c r="E24">
        <v>11.98</v>
      </c>
      <c r="F24">
        <v>-0.10720887245841038</v>
      </c>
      <c r="G24">
        <v>-5.8856588157155221E-2</v>
      </c>
    </row>
    <row r="25" spans="1:7" x14ac:dyDescent="0.3">
      <c r="A25">
        <v>44127</v>
      </c>
      <c r="B25">
        <v>12.27</v>
      </c>
      <c r="C25">
        <v>11.59</v>
      </c>
      <c r="D25">
        <v>11.98</v>
      </c>
      <c r="E25">
        <v>12.17</v>
      </c>
      <c r="F25">
        <v>-1.5859766277128484E-2</v>
      </c>
      <c r="G25">
        <v>1.189384800965021E-2</v>
      </c>
    </row>
    <row r="26" spans="1:7" x14ac:dyDescent="0.3">
      <c r="A26">
        <v>44128</v>
      </c>
      <c r="B26">
        <v>12.96</v>
      </c>
      <c r="C26">
        <v>12.01</v>
      </c>
      <c r="D26">
        <v>12.17</v>
      </c>
      <c r="E26">
        <v>12.72</v>
      </c>
      <c r="F26">
        <v>-4.5193097781429881E-2</v>
      </c>
      <c r="G26">
        <v>-7.275923529555417E-3</v>
      </c>
    </row>
    <row r="27" spans="1:7" x14ac:dyDescent="0.3">
      <c r="A27">
        <v>44129</v>
      </c>
      <c r="B27">
        <v>12.87</v>
      </c>
      <c r="C27">
        <v>11.91</v>
      </c>
      <c r="D27">
        <v>12.72</v>
      </c>
      <c r="E27">
        <v>12.16</v>
      </c>
      <c r="F27">
        <v>4.4025157232704393E-2</v>
      </c>
      <c r="G27">
        <v>1.5004241910071547E-2</v>
      </c>
    </row>
    <row r="28" spans="1:7" x14ac:dyDescent="0.3">
      <c r="A28">
        <v>44130</v>
      </c>
      <c r="B28">
        <v>12.46</v>
      </c>
      <c r="C28">
        <v>11.28</v>
      </c>
      <c r="D28">
        <v>12.16</v>
      </c>
      <c r="E28">
        <v>11.74</v>
      </c>
      <c r="F28">
        <v>3.4539473684210509E-2</v>
      </c>
      <c r="G28">
        <v>3.2606555763362577E-2</v>
      </c>
    </row>
    <row r="29" spans="1:7" x14ac:dyDescent="0.3">
      <c r="A29">
        <v>44131</v>
      </c>
      <c r="B29">
        <v>12.48</v>
      </c>
      <c r="C29">
        <v>11.51</v>
      </c>
      <c r="D29">
        <v>11.74</v>
      </c>
      <c r="E29">
        <v>11.94</v>
      </c>
      <c r="F29">
        <v>-1.7035775127768327E-2</v>
      </c>
      <c r="G29">
        <v>-2.7040777390552329E-2</v>
      </c>
    </row>
    <row r="30" spans="1:7" x14ac:dyDescent="0.3">
      <c r="A30">
        <v>44132</v>
      </c>
      <c r="B30">
        <v>12.19</v>
      </c>
      <c r="C30">
        <v>11.16</v>
      </c>
      <c r="D30">
        <v>11.94</v>
      </c>
      <c r="E30">
        <v>11.46</v>
      </c>
      <c r="F30">
        <v>4.0201005025125469E-2</v>
      </c>
      <c r="G30">
        <v>3.7078317729231758E-2</v>
      </c>
    </row>
    <row r="31" spans="1:7" x14ac:dyDescent="0.3">
      <c r="A31">
        <v>44133</v>
      </c>
      <c r="B31">
        <v>11.8</v>
      </c>
      <c r="C31">
        <v>11.11</v>
      </c>
      <c r="D31">
        <v>11.46</v>
      </c>
      <c r="E31">
        <v>11.29</v>
      </c>
      <c r="F31">
        <v>1.4834205933682565E-2</v>
      </c>
      <c r="G31">
        <v>3.163824369164181E-3</v>
      </c>
    </row>
    <row r="32" spans="1:7" x14ac:dyDescent="0.3">
      <c r="A32">
        <v>44134</v>
      </c>
      <c r="B32">
        <v>11.48</v>
      </c>
      <c r="C32">
        <v>10.77</v>
      </c>
      <c r="D32">
        <v>11.29</v>
      </c>
      <c r="E32">
        <v>11.09</v>
      </c>
      <c r="F32">
        <v>1.7714791851195733E-2</v>
      </c>
      <c r="G32">
        <v>1.2334210662125256E-2</v>
      </c>
    </row>
    <row r="33" spans="1:7" x14ac:dyDescent="0.3">
      <c r="A33">
        <v>44135</v>
      </c>
      <c r="B33">
        <v>11.39</v>
      </c>
      <c r="C33">
        <v>10.91</v>
      </c>
      <c r="D33">
        <v>11.09</v>
      </c>
      <c r="E33">
        <v>11.25</v>
      </c>
      <c r="F33">
        <v>-1.4427412082957725E-2</v>
      </c>
      <c r="G33">
        <v>-1.0476538823283477E-2</v>
      </c>
    </row>
    <row r="34" spans="1:7" x14ac:dyDescent="0.3">
      <c r="A34">
        <v>44136</v>
      </c>
      <c r="B34">
        <v>11.59</v>
      </c>
      <c r="C34">
        <v>11.04</v>
      </c>
      <c r="D34">
        <v>11.25</v>
      </c>
      <c r="E34">
        <v>11.57</v>
      </c>
      <c r="F34">
        <v>-2.8444444444444494E-2</v>
      </c>
      <c r="G34">
        <v>-2.5803449078263707E-2</v>
      </c>
    </row>
    <row r="35" spans="1:7" x14ac:dyDescent="0.3">
      <c r="A35">
        <v>44137</v>
      </c>
      <c r="B35">
        <v>11.69</v>
      </c>
      <c r="C35">
        <v>10.72</v>
      </c>
      <c r="D35">
        <v>11.57</v>
      </c>
      <c r="E35">
        <v>10.79</v>
      </c>
      <c r="F35">
        <v>6.7415730337078705E-2</v>
      </c>
      <c r="G35">
        <v>3.3119092627599156E-2</v>
      </c>
    </row>
    <row r="36" spans="1:7" x14ac:dyDescent="0.3">
      <c r="A36">
        <v>44138</v>
      </c>
      <c r="B36">
        <v>10.79</v>
      </c>
      <c r="C36">
        <v>10.08</v>
      </c>
      <c r="D36">
        <v>10.79</v>
      </c>
      <c r="E36">
        <v>10.39</v>
      </c>
      <c r="F36">
        <v>3.7071362372567029E-2</v>
      </c>
      <c r="G36">
        <v>-1.191314095044449E-2</v>
      </c>
    </row>
    <row r="37" spans="1:7" x14ac:dyDescent="0.3">
      <c r="A37">
        <v>44139</v>
      </c>
      <c r="B37">
        <v>10.68</v>
      </c>
      <c r="C37">
        <v>9.7650000000000006</v>
      </c>
      <c r="D37">
        <v>10.39</v>
      </c>
      <c r="E37">
        <v>10.47</v>
      </c>
      <c r="F37">
        <v>-7.6997112608276908E-3</v>
      </c>
      <c r="G37">
        <v>-3.730228244628786E-2</v>
      </c>
    </row>
    <row r="38" spans="1:7" x14ac:dyDescent="0.3">
      <c r="A38">
        <v>44140</v>
      </c>
      <c r="B38">
        <v>11.29</v>
      </c>
      <c r="C38">
        <v>10.1</v>
      </c>
      <c r="D38">
        <v>10.47</v>
      </c>
      <c r="E38">
        <v>11.01</v>
      </c>
      <c r="F38">
        <v>-5.1575931232091587E-2</v>
      </c>
      <c r="G38">
        <v>-3.5339989072666667E-2</v>
      </c>
    </row>
    <row r="39" spans="1:7" x14ac:dyDescent="0.3">
      <c r="A39">
        <v>44141</v>
      </c>
      <c r="B39">
        <v>12.3</v>
      </c>
      <c r="C39">
        <v>10.95</v>
      </c>
      <c r="D39">
        <v>11.01</v>
      </c>
      <c r="E39">
        <v>12.18</v>
      </c>
      <c r="F39">
        <v>-0.10626702997275195</v>
      </c>
      <c r="G39">
        <v>-9.4581304420830348E-2</v>
      </c>
    </row>
    <row r="40" spans="1:7" x14ac:dyDescent="0.3">
      <c r="A40">
        <v>44142</v>
      </c>
      <c r="B40">
        <v>13.58</v>
      </c>
      <c r="C40">
        <v>11.51</v>
      </c>
      <c r="D40">
        <v>12.18</v>
      </c>
      <c r="E40">
        <v>11.76</v>
      </c>
      <c r="F40">
        <v>3.4482758620689613E-2</v>
      </c>
      <c r="G40">
        <v>4.4924614305750343E-2</v>
      </c>
    </row>
    <row r="41" spans="1:7" x14ac:dyDescent="0.3">
      <c r="A41">
        <v>44143</v>
      </c>
      <c r="B41">
        <v>13.1</v>
      </c>
      <c r="C41">
        <v>11.51</v>
      </c>
      <c r="D41">
        <v>11.76</v>
      </c>
      <c r="E41">
        <v>12.72</v>
      </c>
      <c r="F41">
        <v>-8.163265306122458E-2</v>
      </c>
      <c r="G41">
        <v>-4.3412417970721817E-2</v>
      </c>
    </row>
    <row r="42" spans="1:7" x14ac:dyDescent="0.3">
      <c r="A42">
        <v>44144</v>
      </c>
      <c r="B42">
        <v>12.98</v>
      </c>
      <c r="C42">
        <v>12.08</v>
      </c>
      <c r="D42">
        <v>12.72</v>
      </c>
      <c r="E42">
        <v>12.52</v>
      </c>
      <c r="F42">
        <v>1.572327044025168E-2</v>
      </c>
      <c r="G42">
        <v>2.2628315081145267E-2</v>
      </c>
    </row>
    <row r="43" spans="1:7" x14ac:dyDescent="0.3">
      <c r="A43">
        <v>44145</v>
      </c>
      <c r="B43">
        <v>13.29</v>
      </c>
      <c r="C43">
        <v>12.33</v>
      </c>
      <c r="D43">
        <v>12.52</v>
      </c>
      <c r="E43">
        <v>13.02</v>
      </c>
      <c r="F43">
        <v>-3.9936102236421744E-2</v>
      </c>
      <c r="G43">
        <v>-1.4422319721003607E-2</v>
      </c>
    </row>
    <row r="44" spans="1:7" x14ac:dyDescent="0.3">
      <c r="A44">
        <v>44146</v>
      </c>
      <c r="B44">
        <v>13.44</v>
      </c>
      <c r="C44">
        <v>12.76</v>
      </c>
      <c r="D44">
        <v>13.02</v>
      </c>
      <c r="E44">
        <v>12.78</v>
      </c>
      <c r="F44">
        <v>1.8433179723502335E-2</v>
      </c>
      <c r="G44">
        <v>-2.8944683493767442E-2</v>
      </c>
    </row>
    <row r="45" spans="1:7" x14ac:dyDescent="0.3">
      <c r="A45">
        <v>44147</v>
      </c>
      <c r="B45">
        <v>13.1</v>
      </c>
      <c r="C45">
        <v>12.27</v>
      </c>
      <c r="D45">
        <v>12.78</v>
      </c>
      <c r="E45">
        <v>12.42</v>
      </c>
      <c r="F45">
        <v>2.8169014084507005E-2</v>
      </c>
      <c r="G45">
        <v>2.4358172921472576E-3</v>
      </c>
    </row>
    <row r="46" spans="1:7" x14ac:dyDescent="0.3">
      <c r="A46">
        <v>44148</v>
      </c>
      <c r="B46">
        <v>13.03</v>
      </c>
      <c r="C46">
        <v>12.33</v>
      </c>
      <c r="D46">
        <v>12.42</v>
      </c>
      <c r="E46">
        <v>12.89</v>
      </c>
      <c r="F46">
        <v>-3.7842190016103006E-2</v>
      </c>
      <c r="G46">
        <v>-3.0446432430096371E-2</v>
      </c>
    </row>
    <row r="47" spans="1:7" x14ac:dyDescent="0.3">
      <c r="A47">
        <v>44149</v>
      </c>
      <c r="B47">
        <v>12.94</v>
      </c>
      <c r="C47">
        <v>12.35</v>
      </c>
      <c r="D47">
        <v>12.89</v>
      </c>
      <c r="E47">
        <v>12.56</v>
      </c>
      <c r="F47">
        <v>2.560124127230412E-2</v>
      </c>
      <c r="G47">
        <v>3.3216599911925715E-2</v>
      </c>
    </row>
    <row r="48" spans="1:7" x14ac:dyDescent="0.3">
      <c r="A48">
        <v>44150</v>
      </c>
      <c r="B48">
        <v>12.65</v>
      </c>
      <c r="C48">
        <v>11.83</v>
      </c>
      <c r="D48">
        <v>12.56</v>
      </c>
      <c r="E48">
        <v>12.13</v>
      </c>
      <c r="F48">
        <v>3.4235668789808882E-2</v>
      </c>
      <c r="G48">
        <v>2.7156584170227482E-2</v>
      </c>
    </row>
    <row r="49" spans="1:7" x14ac:dyDescent="0.3">
      <c r="A49">
        <v>44151</v>
      </c>
      <c r="B49">
        <v>12.81</v>
      </c>
      <c r="C49">
        <v>12.01</v>
      </c>
      <c r="D49">
        <v>12.13</v>
      </c>
      <c r="E49">
        <v>12.63</v>
      </c>
      <c r="F49">
        <v>-4.12201154163232E-2</v>
      </c>
      <c r="G49">
        <v>-2.7870058638603368E-2</v>
      </c>
    </row>
    <row r="50" spans="1:7" x14ac:dyDescent="0.3">
      <c r="A50">
        <v>44152</v>
      </c>
      <c r="B50">
        <v>13.42</v>
      </c>
      <c r="C50">
        <v>12.54</v>
      </c>
      <c r="D50">
        <v>12.63</v>
      </c>
      <c r="E50">
        <v>13.4</v>
      </c>
      <c r="F50">
        <v>-6.0965954077593087E-2</v>
      </c>
      <c r="G50">
        <v>-4.7070562460684195E-2</v>
      </c>
    </row>
    <row r="51" spans="1:7" x14ac:dyDescent="0.3">
      <c r="A51">
        <v>44153</v>
      </c>
      <c r="B51">
        <v>14.27</v>
      </c>
      <c r="C51">
        <v>12.68</v>
      </c>
      <c r="D51">
        <v>13.4</v>
      </c>
      <c r="E51">
        <v>13.58</v>
      </c>
      <c r="F51">
        <v>-1.3432835820895495E-2</v>
      </c>
      <c r="G51">
        <v>8.1829669988191522E-3</v>
      </c>
    </row>
    <row r="52" spans="1:7" x14ac:dyDescent="0.3">
      <c r="A52">
        <v>44154</v>
      </c>
      <c r="B52">
        <v>14</v>
      </c>
      <c r="C52">
        <v>13.03</v>
      </c>
      <c r="D52">
        <v>13.58</v>
      </c>
      <c r="E52">
        <v>13.63</v>
      </c>
      <c r="F52">
        <v>-3.6818851251840812E-3</v>
      </c>
      <c r="G52">
        <v>1.4495780766981325E-2</v>
      </c>
    </row>
    <row r="53" spans="1:7" x14ac:dyDescent="0.3">
      <c r="A53">
        <v>44155</v>
      </c>
      <c r="B53">
        <v>14.48</v>
      </c>
      <c r="C53">
        <v>13.47</v>
      </c>
      <c r="D53">
        <v>13.63</v>
      </c>
      <c r="E53">
        <v>14.11</v>
      </c>
      <c r="F53">
        <v>-3.5216434336023283E-2</v>
      </c>
      <c r="G53">
        <v>-8.1832054597092085E-2</v>
      </c>
    </row>
    <row r="54" spans="1:7" x14ac:dyDescent="0.3">
      <c r="A54">
        <v>44156</v>
      </c>
      <c r="B54">
        <v>15.49</v>
      </c>
      <c r="C54">
        <v>13.73</v>
      </c>
      <c r="D54">
        <v>14.11</v>
      </c>
      <c r="E54">
        <v>15.46</v>
      </c>
      <c r="F54">
        <v>-9.5676824946846262E-2</v>
      </c>
      <c r="G54">
        <v>-8.195051231314765E-2</v>
      </c>
    </row>
    <row r="55" spans="1:7" x14ac:dyDescent="0.3">
      <c r="A55">
        <v>44157</v>
      </c>
      <c r="B55">
        <v>15.72</v>
      </c>
      <c r="C55">
        <v>13.88</v>
      </c>
      <c r="D55">
        <v>15.46</v>
      </c>
      <c r="E55">
        <v>14.52</v>
      </c>
      <c r="F55">
        <v>6.0802069857697316E-2</v>
      </c>
      <c r="G55">
        <v>-1.4033245210589129E-2</v>
      </c>
    </row>
    <row r="56" spans="1:7" x14ac:dyDescent="0.3">
      <c r="A56">
        <v>44158</v>
      </c>
      <c r="B56">
        <v>15.43</v>
      </c>
      <c r="C56">
        <v>14.25</v>
      </c>
      <c r="D56">
        <v>14.52</v>
      </c>
      <c r="E56">
        <v>15.28</v>
      </c>
      <c r="F56">
        <v>-5.2341597796143224E-2</v>
      </c>
      <c r="G56">
        <v>-8.7712719415724782E-2</v>
      </c>
    </row>
    <row r="57" spans="1:7" x14ac:dyDescent="0.3">
      <c r="A57">
        <v>44159</v>
      </c>
      <c r="B57">
        <v>16.399999999999999</v>
      </c>
      <c r="C57">
        <v>15</v>
      </c>
      <c r="D57">
        <v>15.28</v>
      </c>
      <c r="E57">
        <v>15.66</v>
      </c>
      <c r="F57">
        <v>-2.486910994764413E-2</v>
      </c>
      <c r="G57">
        <v>6.8129955838654999E-3</v>
      </c>
    </row>
    <row r="58" spans="1:7" x14ac:dyDescent="0.3">
      <c r="A58">
        <v>44160</v>
      </c>
      <c r="B58">
        <v>15.86</v>
      </c>
      <c r="C58">
        <v>13.81</v>
      </c>
      <c r="D58">
        <v>15.66</v>
      </c>
      <c r="E58">
        <v>14.23</v>
      </c>
      <c r="F58">
        <v>9.1315453384418932E-2</v>
      </c>
      <c r="G58">
        <v>5.8811861549142197E-2</v>
      </c>
    </row>
    <row r="59" spans="1:7" x14ac:dyDescent="0.3">
      <c r="A59">
        <v>44161</v>
      </c>
      <c r="B59">
        <v>14.47</v>
      </c>
      <c r="C59">
        <v>11.33</v>
      </c>
      <c r="D59">
        <v>14.23</v>
      </c>
      <c r="E59">
        <v>12.57</v>
      </c>
      <c r="F59">
        <v>0.11665495432185524</v>
      </c>
      <c r="G59">
        <v>8.6371619248331477E-2</v>
      </c>
    </row>
    <row r="60" spans="1:7" x14ac:dyDescent="0.3">
      <c r="A60">
        <v>44162</v>
      </c>
      <c r="B60">
        <v>12.94</v>
      </c>
      <c r="C60">
        <v>11.97</v>
      </c>
      <c r="D60">
        <v>12.57</v>
      </c>
      <c r="E60">
        <v>12.5</v>
      </c>
      <c r="F60">
        <v>5.5688146380270531E-3</v>
      </c>
      <c r="G60">
        <v>2.671946484179788E-3</v>
      </c>
    </row>
    <row r="61" spans="1:7" x14ac:dyDescent="0.3">
      <c r="A61">
        <v>44163</v>
      </c>
      <c r="B61">
        <v>13.43</v>
      </c>
      <c r="C61">
        <v>12.36</v>
      </c>
      <c r="D61">
        <v>12.5</v>
      </c>
      <c r="E61">
        <v>13.1</v>
      </c>
      <c r="F61">
        <v>-4.8000000000000043E-2</v>
      </c>
      <c r="G61">
        <v>-3.6929244646608739E-2</v>
      </c>
    </row>
    <row r="62" spans="1:7" x14ac:dyDescent="0.3">
      <c r="A62">
        <v>44164</v>
      </c>
      <c r="B62">
        <v>13.47</v>
      </c>
      <c r="C62">
        <v>12.86</v>
      </c>
      <c r="D62">
        <v>13.1</v>
      </c>
      <c r="E62">
        <v>13.31</v>
      </c>
      <c r="F62">
        <v>-1.6030534351145098E-2</v>
      </c>
      <c r="G62">
        <v>-5.0354095801037335E-2</v>
      </c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B6828-CFB1-48A9-BBA3-1033A9CA0B80}">
  <sheetPr codeName="Sheet18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44104</v>
      </c>
      <c r="B2">
        <v>10850.12</v>
      </c>
      <c r="C2">
        <v>10666.17</v>
      </c>
      <c r="D2">
        <v>10841.29</v>
      </c>
      <c r="E2">
        <v>10779.42</v>
      </c>
      <c r="F2"/>
      <c r="G2"/>
    </row>
    <row r="3" spans="1:7" x14ac:dyDescent="0.3">
      <c r="A3">
        <v>44105</v>
      </c>
      <c r="B3">
        <v>10926.47</v>
      </c>
      <c r="C3">
        <v>10454.66</v>
      </c>
      <c r="D3">
        <v>10779.42</v>
      </c>
      <c r="E3">
        <v>10622.79</v>
      </c>
      <c r="F3">
        <v>1.4530466388729568E-2</v>
      </c>
      <c r="G3">
        <v>1.8370296259240804E-2</v>
      </c>
    </row>
    <row r="4" spans="1:7" x14ac:dyDescent="0.3">
      <c r="A4">
        <v>44106</v>
      </c>
      <c r="B4">
        <v>10668.49</v>
      </c>
      <c r="C4">
        <v>10388.07</v>
      </c>
      <c r="D4">
        <v>10622.79</v>
      </c>
      <c r="E4">
        <v>10576.64</v>
      </c>
      <c r="F4">
        <v>4.3444330538400244E-3</v>
      </c>
      <c r="G4">
        <v>2.0894085671413598E-2</v>
      </c>
    </row>
    <row r="5" spans="1:7" x14ac:dyDescent="0.3">
      <c r="A5">
        <v>44107</v>
      </c>
      <c r="B5">
        <v>10602.28</v>
      </c>
      <c r="C5">
        <v>10507.49</v>
      </c>
      <c r="D5">
        <v>10576.64</v>
      </c>
      <c r="E5">
        <v>10552.04</v>
      </c>
      <c r="F5">
        <v>2.3258804308361469E-3</v>
      </c>
      <c r="G5">
        <v>-1.4168811265651282E-3</v>
      </c>
    </row>
    <row r="6" spans="1:7" x14ac:dyDescent="0.3">
      <c r="A6">
        <v>44108</v>
      </c>
      <c r="B6">
        <v>10699.94</v>
      </c>
      <c r="C6">
        <v>10534.5</v>
      </c>
      <c r="D6">
        <v>10552.04</v>
      </c>
      <c r="E6">
        <v>10675.52</v>
      </c>
      <c r="F6">
        <v>-1.1702002645933796E-2</v>
      </c>
      <c r="G6">
        <v>-1.816239316239332E-2</v>
      </c>
    </row>
    <row r="7" spans="1:7" x14ac:dyDescent="0.3">
      <c r="A7">
        <v>44109</v>
      </c>
      <c r="B7">
        <v>10799.53</v>
      </c>
      <c r="C7">
        <v>10627.77</v>
      </c>
      <c r="D7">
        <v>10675.52</v>
      </c>
      <c r="E7">
        <v>10795.11</v>
      </c>
      <c r="F7">
        <v>-1.120226462036511E-2</v>
      </c>
      <c r="G7">
        <v>-3.2613936076684169E-3</v>
      </c>
    </row>
    <row r="8" spans="1:7" x14ac:dyDescent="0.3">
      <c r="A8">
        <v>44110</v>
      </c>
      <c r="B8">
        <v>10801.66</v>
      </c>
      <c r="C8">
        <v>10533.32</v>
      </c>
      <c r="D8">
        <v>10795.11</v>
      </c>
      <c r="E8">
        <v>10603.9</v>
      </c>
      <c r="F8">
        <v>1.7712649523719648E-2</v>
      </c>
      <c r="G8">
        <v>3.6493668023518722E-2</v>
      </c>
    </row>
    <row r="9" spans="1:7" x14ac:dyDescent="0.3">
      <c r="A9">
        <v>44111</v>
      </c>
      <c r="B9">
        <v>10679.76</v>
      </c>
      <c r="C9">
        <v>10554.41</v>
      </c>
      <c r="D9">
        <v>10603.9</v>
      </c>
      <c r="E9">
        <v>10672.67</v>
      </c>
      <c r="F9">
        <v>-6.4853497298165141E-3</v>
      </c>
      <c r="G9">
        <v>-3.1098723778788528E-3</v>
      </c>
    </row>
    <row r="10" spans="1:7" x14ac:dyDescent="0.3">
      <c r="A10">
        <v>44112</v>
      </c>
      <c r="B10">
        <v>10957.42</v>
      </c>
      <c r="C10">
        <v>10541.2</v>
      </c>
      <c r="D10">
        <v>10672.67</v>
      </c>
      <c r="E10">
        <v>10929.4</v>
      </c>
      <c r="F10">
        <v>-2.4054899102099014E-2</v>
      </c>
      <c r="G10">
        <v>-2.7170892925038714E-2</v>
      </c>
    </row>
    <row r="11" spans="1:7" x14ac:dyDescent="0.3">
      <c r="A11">
        <v>44113</v>
      </c>
      <c r="B11">
        <v>11109.32</v>
      </c>
      <c r="C11">
        <v>10839.3</v>
      </c>
      <c r="D11">
        <v>10929.4</v>
      </c>
      <c r="E11">
        <v>11058.78</v>
      </c>
      <c r="F11">
        <v>-1.1837795304408427E-2</v>
      </c>
      <c r="G11">
        <v>-4.0461275626423765E-2</v>
      </c>
    </row>
    <row r="12" spans="1:7" x14ac:dyDescent="0.3">
      <c r="A12">
        <v>44114</v>
      </c>
      <c r="B12">
        <v>11485.43</v>
      </c>
      <c r="C12">
        <v>11057.98</v>
      </c>
      <c r="D12">
        <v>11058.78</v>
      </c>
      <c r="E12">
        <v>11301.57</v>
      </c>
      <c r="F12">
        <v>-2.1954501310271102E-2</v>
      </c>
      <c r="G12">
        <v>-1.4969486330423276E-2</v>
      </c>
    </row>
    <row r="13" spans="1:7" x14ac:dyDescent="0.3">
      <c r="A13">
        <v>44115</v>
      </c>
      <c r="B13">
        <v>11434.1</v>
      </c>
      <c r="C13">
        <v>11284.09</v>
      </c>
      <c r="D13">
        <v>11301.57</v>
      </c>
      <c r="E13">
        <v>11375.51</v>
      </c>
      <c r="F13">
        <v>-6.5424538360598916E-3</v>
      </c>
      <c r="G13">
        <v>-9.4100517687663032E-3</v>
      </c>
    </row>
    <row r="14" spans="1:7" x14ac:dyDescent="0.3">
      <c r="A14">
        <v>44116</v>
      </c>
      <c r="B14">
        <v>11725.28</v>
      </c>
      <c r="C14">
        <v>11223.99</v>
      </c>
      <c r="D14">
        <v>11375.51</v>
      </c>
      <c r="E14">
        <v>11539.76</v>
      </c>
      <c r="F14">
        <v>-1.4438913068512971E-2</v>
      </c>
      <c r="G14">
        <v>-3.3496273739882954E-2</v>
      </c>
    </row>
    <row r="15" spans="1:7" x14ac:dyDescent="0.3">
      <c r="A15">
        <v>44117</v>
      </c>
      <c r="B15">
        <v>11561.69</v>
      </c>
      <c r="C15">
        <v>11314.56</v>
      </c>
      <c r="D15">
        <v>11539.76</v>
      </c>
      <c r="E15">
        <v>11427.29</v>
      </c>
      <c r="F15">
        <v>9.7463032160113316E-3</v>
      </c>
      <c r="G15">
        <v>1.421519216355227E-2</v>
      </c>
    </row>
    <row r="16" spans="1:7" x14ac:dyDescent="0.3">
      <c r="A16">
        <v>44118</v>
      </c>
      <c r="B16">
        <v>11550.25</v>
      </c>
      <c r="C16">
        <v>11298.88</v>
      </c>
      <c r="D16">
        <v>11427.29</v>
      </c>
      <c r="E16">
        <v>11429.3</v>
      </c>
      <c r="F16">
        <v>-1.7589472219547986E-4</v>
      </c>
      <c r="G16">
        <v>6.0302561547941336E-3</v>
      </c>
    </row>
    <row r="17" spans="1:7" x14ac:dyDescent="0.3">
      <c r="A17">
        <v>44119</v>
      </c>
      <c r="B17">
        <v>11607.59</v>
      </c>
      <c r="C17">
        <v>11269.05</v>
      </c>
      <c r="D17">
        <v>11429.3</v>
      </c>
      <c r="E17">
        <v>11508.31</v>
      </c>
      <c r="F17">
        <v>-6.9129343004383781E-3</v>
      </c>
      <c r="G17">
        <v>3.7192371607185359E-3</v>
      </c>
    </row>
    <row r="18" spans="1:7" x14ac:dyDescent="0.3">
      <c r="A18">
        <v>44120</v>
      </c>
      <c r="B18">
        <v>11545.35</v>
      </c>
      <c r="C18">
        <v>11224.89</v>
      </c>
      <c r="D18">
        <v>11508.31</v>
      </c>
      <c r="E18">
        <v>11326.25</v>
      </c>
      <c r="F18">
        <v>1.581987277019814E-2</v>
      </c>
      <c r="G18">
        <v>3.2088959491660018E-2</v>
      </c>
    </row>
    <row r="19" spans="1:7" x14ac:dyDescent="0.3">
      <c r="A19">
        <v>44121</v>
      </c>
      <c r="B19">
        <v>11410.01</v>
      </c>
      <c r="C19">
        <v>11270.69</v>
      </c>
      <c r="D19">
        <v>11326.25</v>
      </c>
      <c r="E19">
        <v>11367.65</v>
      </c>
      <c r="F19">
        <v>-3.6552256925284077E-3</v>
      </c>
      <c r="G19">
        <v>-8.3976147491657827E-3</v>
      </c>
    </row>
    <row r="20" spans="1:7" x14ac:dyDescent="0.3">
      <c r="A20">
        <v>44122</v>
      </c>
      <c r="B20">
        <v>11513.68</v>
      </c>
      <c r="C20">
        <v>11357.25</v>
      </c>
      <c r="D20">
        <v>11367.65</v>
      </c>
      <c r="E20">
        <v>11513.33</v>
      </c>
      <c r="F20">
        <v>-1.2815313631225456E-2</v>
      </c>
      <c r="G20">
        <v>-2.6556354265563575E-2</v>
      </c>
    </row>
    <row r="21" spans="1:7" x14ac:dyDescent="0.3">
      <c r="A21">
        <v>44123</v>
      </c>
      <c r="B21">
        <v>11821.95</v>
      </c>
      <c r="C21">
        <v>11417.11</v>
      </c>
      <c r="D21">
        <v>11513.33</v>
      </c>
      <c r="E21">
        <v>11756.88</v>
      </c>
      <c r="F21">
        <v>-2.1153740924649833E-2</v>
      </c>
      <c r="G21">
        <v>-2.5631540006343378E-3</v>
      </c>
    </row>
    <row r="22" spans="1:7" x14ac:dyDescent="0.3">
      <c r="A22">
        <v>44124</v>
      </c>
      <c r="B22">
        <v>12047.73</v>
      </c>
      <c r="C22">
        <v>11688.39</v>
      </c>
      <c r="D22">
        <v>11756.88</v>
      </c>
      <c r="E22">
        <v>11921.78</v>
      </c>
      <c r="F22">
        <v>-1.402582998210411E-2</v>
      </c>
      <c r="G22">
        <v>2.8122611422998878E-2</v>
      </c>
    </row>
    <row r="23" spans="1:7" x14ac:dyDescent="0.3">
      <c r="A23">
        <v>44125</v>
      </c>
      <c r="B23">
        <v>13236.39</v>
      </c>
      <c r="C23">
        <v>11900.51</v>
      </c>
      <c r="D23">
        <v>11921.78</v>
      </c>
      <c r="E23">
        <v>12813.11</v>
      </c>
      <c r="F23">
        <v>-7.4764842162831302E-2</v>
      </c>
      <c r="G23">
        <v>-6.1615230243531993E-2</v>
      </c>
    </row>
    <row r="24" spans="1:7" x14ac:dyDescent="0.3">
      <c r="A24">
        <v>44126</v>
      </c>
      <c r="B24">
        <v>13197.69</v>
      </c>
      <c r="C24">
        <v>12700.74</v>
      </c>
      <c r="D24">
        <v>12813.11</v>
      </c>
      <c r="E24">
        <v>12990.25</v>
      </c>
      <c r="F24">
        <v>-1.3824902775360526E-2</v>
      </c>
      <c r="G24">
        <v>-5.8856588157155221E-2</v>
      </c>
    </row>
    <row r="25" spans="1:7" x14ac:dyDescent="0.3">
      <c r="A25">
        <v>44127</v>
      </c>
      <c r="B25">
        <v>13031.82</v>
      </c>
      <c r="C25">
        <v>12732.62</v>
      </c>
      <c r="D25">
        <v>12990.25</v>
      </c>
      <c r="E25">
        <v>12937.2</v>
      </c>
      <c r="F25">
        <v>4.0838321048478621E-3</v>
      </c>
      <c r="G25">
        <v>1.189384800965021E-2</v>
      </c>
    </row>
    <row r="26" spans="1:7" x14ac:dyDescent="0.3">
      <c r="A26">
        <v>44128</v>
      </c>
      <c r="B26">
        <v>13167.31</v>
      </c>
      <c r="C26">
        <v>12886.47</v>
      </c>
      <c r="D26">
        <v>12937.2</v>
      </c>
      <c r="E26">
        <v>13126.13</v>
      </c>
      <c r="F26">
        <v>-1.4603623658905995E-2</v>
      </c>
      <c r="G26">
        <v>-7.275923529555417E-3</v>
      </c>
    </row>
    <row r="27" spans="1:7" x14ac:dyDescent="0.3">
      <c r="A27">
        <v>44129</v>
      </c>
      <c r="B27">
        <v>13346.7</v>
      </c>
      <c r="C27">
        <v>12910.39</v>
      </c>
      <c r="D27">
        <v>13126.13</v>
      </c>
      <c r="E27">
        <v>13041.21</v>
      </c>
      <c r="F27">
        <v>6.4695382416599667E-3</v>
      </c>
      <c r="G27">
        <v>1.5004241910071547E-2</v>
      </c>
    </row>
    <row r="28" spans="1:7" x14ac:dyDescent="0.3">
      <c r="A28">
        <v>44130</v>
      </c>
      <c r="B28">
        <v>13241.79</v>
      </c>
      <c r="C28">
        <v>12797.05</v>
      </c>
      <c r="D28">
        <v>13041.21</v>
      </c>
      <c r="E28">
        <v>13069.43</v>
      </c>
      <c r="F28">
        <v>-2.1639096372192412E-3</v>
      </c>
      <c r="G28">
        <v>3.2606555763362577E-2</v>
      </c>
    </row>
    <row r="29" spans="1:7" x14ac:dyDescent="0.3">
      <c r="A29">
        <v>44131</v>
      </c>
      <c r="B29">
        <v>13783.14</v>
      </c>
      <c r="C29">
        <v>13060.64</v>
      </c>
      <c r="D29">
        <v>13069.43</v>
      </c>
      <c r="E29">
        <v>13646.02</v>
      </c>
      <c r="F29">
        <v>-4.411745577274595E-2</v>
      </c>
      <c r="G29">
        <v>-2.7040777390552329E-2</v>
      </c>
    </row>
    <row r="30" spans="1:7" x14ac:dyDescent="0.3">
      <c r="A30">
        <v>44132</v>
      </c>
      <c r="B30">
        <v>13855.57</v>
      </c>
      <c r="C30">
        <v>12906.15</v>
      </c>
      <c r="D30">
        <v>13646.02</v>
      </c>
      <c r="E30">
        <v>13285.97</v>
      </c>
      <c r="F30">
        <v>2.6384982581001748E-2</v>
      </c>
      <c r="G30">
        <v>3.7078317729231758E-2</v>
      </c>
    </row>
    <row r="31" spans="1:7" x14ac:dyDescent="0.3">
      <c r="A31">
        <v>44133</v>
      </c>
      <c r="B31">
        <v>13643.6</v>
      </c>
      <c r="C31">
        <v>12985.56</v>
      </c>
      <c r="D31">
        <v>13285.97</v>
      </c>
      <c r="E31">
        <v>13462.18</v>
      </c>
      <c r="F31">
        <v>-1.3262863005109926E-2</v>
      </c>
      <c r="G31">
        <v>3.163824369164181E-3</v>
      </c>
    </row>
    <row r="32" spans="1:7" x14ac:dyDescent="0.3">
      <c r="A32">
        <v>44134</v>
      </c>
      <c r="B32">
        <v>13674.89</v>
      </c>
      <c r="C32">
        <v>13132.53</v>
      </c>
      <c r="D32">
        <v>13462.18</v>
      </c>
      <c r="E32">
        <v>13565.95</v>
      </c>
      <c r="F32">
        <v>-7.7082612177226117E-3</v>
      </c>
      <c r="G32">
        <v>1.2334210662125256E-2</v>
      </c>
    </row>
    <row r="33" spans="1:7" x14ac:dyDescent="0.3">
      <c r="A33">
        <v>44135</v>
      </c>
      <c r="B33">
        <v>14077.8</v>
      </c>
      <c r="C33">
        <v>13432.24</v>
      </c>
      <c r="D33">
        <v>13565.95</v>
      </c>
      <c r="E33">
        <v>13803.41</v>
      </c>
      <c r="F33">
        <v>-1.7504118767944776E-2</v>
      </c>
      <c r="G33">
        <v>-1.0476538823283477E-2</v>
      </c>
    </row>
    <row r="34" spans="1:7" x14ac:dyDescent="0.3">
      <c r="A34">
        <v>44136</v>
      </c>
      <c r="B34">
        <v>13897.02</v>
      </c>
      <c r="C34">
        <v>13630.22</v>
      </c>
      <c r="D34">
        <v>13803.41</v>
      </c>
      <c r="E34">
        <v>13761.72</v>
      </c>
      <c r="F34">
        <v>3.0202681801091424E-3</v>
      </c>
      <c r="G34">
        <v>-2.5803449078263707E-2</v>
      </c>
    </row>
    <row r="35" spans="1:7" x14ac:dyDescent="0.3">
      <c r="A35">
        <v>44137</v>
      </c>
      <c r="B35">
        <v>13828.48</v>
      </c>
      <c r="C35">
        <v>13221.65</v>
      </c>
      <c r="D35">
        <v>13761.72</v>
      </c>
      <c r="E35">
        <v>13571.24</v>
      </c>
      <c r="F35">
        <v>1.3841293094177143E-2</v>
      </c>
      <c r="G35">
        <v>3.3119092627599156E-2</v>
      </c>
    </row>
    <row r="36" spans="1:7" x14ac:dyDescent="0.3">
      <c r="A36">
        <v>44138</v>
      </c>
      <c r="B36">
        <v>14071.54</v>
      </c>
      <c r="C36">
        <v>13300.84</v>
      </c>
      <c r="D36">
        <v>13571.24</v>
      </c>
      <c r="E36">
        <v>14023.78</v>
      </c>
      <c r="F36">
        <v>-3.3345515958748129E-2</v>
      </c>
      <c r="G36">
        <v>-1.191314095044449E-2</v>
      </c>
    </row>
    <row r="37" spans="1:7" x14ac:dyDescent="0.3">
      <c r="A37">
        <v>44139</v>
      </c>
      <c r="B37">
        <v>14258.9</v>
      </c>
      <c r="C37">
        <v>13539.13</v>
      </c>
      <c r="D37">
        <v>14023.78</v>
      </c>
      <c r="E37">
        <v>14157.73</v>
      </c>
      <c r="F37">
        <v>-9.5516330119267412E-3</v>
      </c>
      <c r="G37">
        <v>-3.730228244628786E-2</v>
      </c>
    </row>
    <row r="38" spans="1:7" x14ac:dyDescent="0.3">
      <c r="A38">
        <v>44140</v>
      </c>
      <c r="B38">
        <v>15739.47</v>
      </c>
      <c r="C38">
        <v>14114.37</v>
      </c>
      <c r="D38">
        <v>14157.73</v>
      </c>
      <c r="E38">
        <v>15599.92</v>
      </c>
      <c r="F38">
        <v>-0.10186590646946936</v>
      </c>
      <c r="G38">
        <v>-3.5339989072666667E-2</v>
      </c>
    </row>
    <row r="39" spans="1:7" x14ac:dyDescent="0.3">
      <c r="A39">
        <v>44141</v>
      </c>
      <c r="B39">
        <v>15948.88</v>
      </c>
      <c r="C39">
        <v>15219.57</v>
      </c>
      <c r="D39">
        <v>15599.92</v>
      </c>
      <c r="E39">
        <v>15590.62</v>
      </c>
      <c r="F39">
        <v>5.96156903368672E-4</v>
      </c>
      <c r="G39">
        <v>-9.4581304420830348E-2</v>
      </c>
    </row>
    <row r="40" spans="1:7" x14ac:dyDescent="0.3">
      <c r="A40">
        <v>44142</v>
      </c>
      <c r="B40">
        <v>15765.02</v>
      </c>
      <c r="C40">
        <v>14427.34</v>
      </c>
      <c r="D40">
        <v>15590.62</v>
      </c>
      <c r="E40">
        <v>14838.16</v>
      </c>
      <c r="F40">
        <v>4.8263635442336583E-2</v>
      </c>
      <c r="G40">
        <v>4.4924614305750343E-2</v>
      </c>
    </row>
    <row r="41" spans="1:7" x14ac:dyDescent="0.3">
      <c r="A41">
        <v>44143</v>
      </c>
      <c r="B41">
        <v>15653.89</v>
      </c>
      <c r="C41">
        <v>14739.11</v>
      </c>
      <c r="D41">
        <v>14838.16</v>
      </c>
      <c r="E41">
        <v>15488.25</v>
      </c>
      <c r="F41">
        <v>-4.3812035993681109E-2</v>
      </c>
      <c r="G41">
        <v>-4.3412417970721817E-2</v>
      </c>
    </row>
    <row r="42" spans="1:7" x14ac:dyDescent="0.3">
      <c r="A42">
        <v>44144</v>
      </c>
      <c r="B42">
        <v>15812.23</v>
      </c>
      <c r="C42">
        <v>14833.13</v>
      </c>
      <c r="D42">
        <v>15488.25</v>
      </c>
      <c r="E42">
        <v>15335.03</v>
      </c>
      <c r="F42">
        <v>9.892660565267164E-3</v>
      </c>
      <c r="G42">
        <v>2.2628315081145267E-2</v>
      </c>
    </row>
    <row r="43" spans="1:7" x14ac:dyDescent="0.3">
      <c r="A43">
        <v>44145</v>
      </c>
      <c r="B43">
        <v>15476.99</v>
      </c>
      <c r="C43">
        <v>15099.11</v>
      </c>
      <c r="D43">
        <v>15335.03</v>
      </c>
      <c r="E43">
        <v>15313.73</v>
      </c>
      <c r="F43">
        <v>1.3889767414867471E-3</v>
      </c>
      <c r="G43">
        <v>-1.4422319721003607E-2</v>
      </c>
    </row>
    <row r="44" spans="1:7" x14ac:dyDescent="0.3">
      <c r="A44">
        <v>44146</v>
      </c>
      <c r="B44">
        <v>15983.03</v>
      </c>
      <c r="C44">
        <v>15288.76</v>
      </c>
      <c r="D44">
        <v>15313.73</v>
      </c>
      <c r="E44">
        <v>15707.08</v>
      </c>
      <c r="F44">
        <v>-2.5686099990009037E-2</v>
      </c>
      <c r="G44">
        <v>-2.8944683493767442E-2</v>
      </c>
    </row>
    <row r="45" spans="1:7" x14ac:dyDescent="0.3">
      <c r="A45">
        <v>44147</v>
      </c>
      <c r="B45">
        <v>16348.99</v>
      </c>
      <c r="C45">
        <v>15476.25</v>
      </c>
      <c r="D45">
        <v>15707.08</v>
      </c>
      <c r="E45">
        <v>16306.53</v>
      </c>
      <c r="F45">
        <v>-3.8164318256480589E-2</v>
      </c>
      <c r="G45">
        <v>2.4358172921472576E-3</v>
      </c>
    </row>
    <row r="46" spans="1:7" x14ac:dyDescent="0.3">
      <c r="A46">
        <v>44148</v>
      </c>
      <c r="B46">
        <v>16482.62</v>
      </c>
      <c r="C46">
        <v>15975.8</v>
      </c>
      <c r="D46">
        <v>16306.53</v>
      </c>
      <c r="E46">
        <v>16332.85</v>
      </c>
      <c r="F46">
        <v>-1.6140773052268909E-3</v>
      </c>
      <c r="G46">
        <v>-3.0446432430096371E-2</v>
      </c>
    </row>
    <row r="47" spans="1:7" x14ac:dyDescent="0.3">
      <c r="A47">
        <v>44149</v>
      </c>
      <c r="B47">
        <v>16334.29</v>
      </c>
      <c r="C47">
        <v>15720.61</v>
      </c>
      <c r="D47">
        <v>16332.85</v>
      </c>
      <c r="E47">
        <v>16075.95</v>
      </c>
      <c r="F47">
        <v>1.5729036879662761E-2</v>
      </c>
      <c r="G47">
        <v>3.3216599911925715E-2</v>
      </c>
    </row>
    <row r="48" spans="1:7" x14ac:dyDescent="0.3">
      <c r="A48">
        <v>44150</v>
      </c>
      <c r="B48">
        <v>16156.82</v>
      </c>
      <c r="C48">
        <v>15796.03</v>
      </c>
      <c r="D48">
        <v>16075.95</v>
      </c>
      <c r="E48">
        <v>15964.7</v>
      </c>
      <c r="F48">
        <v>6.9202753180993559E-3</v>
      </c>
      <c r="G48">
        <v>2.7156584170227482E-2</v>
      </c>
    </row>
    <row r="49" spans="1:7" x14ac:dyDescent="0.3">
      <c r="A49">
        <v>44151</v>
      </c>
      <c r="B49">
        <v>16876.48</v>
      </c>
      <c r="C49">
        <v>15877.77</v>
      </c>
      <c r="D49">
        <v>15964.7</v>
      </c>
      <c r="E49">
        <v>16721.46</v>
      </c>
      <c r="F49">
        <v>-4.7402080840855065E-2</v>
      </c>
      <c r="G49">
        <v>-2.7870058638603368E-2</v>
      </c>
    </row>
    <row r="50" spans="1:7" x14ac:dyDescent="0.3">
      <c r="A50">
        <v>44152</v>
      </c>
      <c r="B50">
        <v>17857.37</v>
      </c>
      <c r="C50">
        <v>16563.5</v>
      </c>
      <c r="D50">
        <v>16721.46</v>
      </c>
      <c r="E50">
        <v>17681.54</v>
      </c>
      <c r="F50">
        <v>-5.7416039030084853E-2</v>
      </c>
      <c r="G50">
        <v>-4.7070562460684195E-2</v>
      </c>
    </row>
    <row r="51" spans="1:7" x14ac:dyDescent="0.3">
      <c r="A51">
        <v>44153</v>
      </c>
      <c r="B51">
        <v>18466.099999999999</v>
      </c>
      <c r="C51">
        <v>17260.91</v>
      </c>
      <c r="D51">
        <v>17681.54</v>
      </c>
      <c r="E51">
        <v>17786.27</v>
      </c>
      <c r="F51">
        <v>-5.9231266054879939E-3</v>
      </c>
      <c r="G51">
        <v>8.1829669988191522E-3</v>
      </c>
    </row>
    <row r="52" spans="1:7" x14ac:dyDescent="0.3">
      <c r="A52">
        <v>44154</v>
      </c>
      <c r="B52">
        <v>18172.87</v>
      </c>
      <c r="C52">
        <v>17365.080000000002</v>
      </c>
      <c r="D52">
        <v>17786.27</v>
      </c>
      <c r="E52">
        <v>17824.64</v>
      </c>
      <c r="F52">
        <v>-2.1572819933577403E-3</v>
      </c>
      <c r="G52">
        <v>1.4495780766981325E-2</v>
      </c>
    </row>
    <row r="53" spans="1:7" x14ac:dyDescent="0.3">
      <c r="A53">
        <v>44155</v>
      </c>
      <c r="B53">
        <v>18814.87</v>
      </c>
      <c r="C53">
        <v>17764.07</v>
      </c>
      <c r="D53">
        <v>17824.64</v>
      </c>
      <c r="E53">
        <v>18672.78</v>
      </c>
      <c r="F53">
        <v>-4.758244766794717E-2</v>
      </c>
      <c r="G53">
        <v>-8.1832054597092085E-2</v>
      </c>
    </row>
    <row r="54" spans="1:7" x14ac:dyDescent="0.3">
      <c r="A54">
        <v>44156</v>
      </c>
      <c r="B54">
        <v>18966.12</v>
      </c>
      <c r="C54">
        <v>18359.060000000001</v>
      </c>
      <c r="D54">
        <v>18672.78</v>
      </c>
      <c r="E54">
        <v>18704.060000000001</v>
      </c>
      <c r="F54">
        <v>-1.6751656689577565E-3</v>
      </c>
      <c r="G54">
        <v>-8.195051231314765E-2</v>
      </c>
    </row>
    <row r="55" spans="1:7" x14ac:dyDescent="0.3">
      <c r="A55">
        <v>44157</v>
      </c>
      <c r="B55">
        <v>18757.55</v>
      </c>
      <c r="C55">
        <v>17635.18</v>
      </c>
      <c r="D55">
        <v>18704.060000000001</v>
      </c>
      <c r="E55">
        <v>18430.59</v>
      </c>
      <c r="F55">
        <v>1.4620889796119196E-2</v>
      </c>
      <c r="G55">
        <v>-1.4033245210589129E-2</v>
      </c>
    </row>
    <row r="56" spans="1:7" x14ac:dyDescent="0.3">
      <c r="A56">
        <v>44158</v>
      </c>
      <c r="B56">
        <v>18761.66</v>
      </c>
      <c r="C56">
        <v>18010.509999999998</v>
      </c>
      <c r="D56">
        <v>18430.59</v>
      </c>
      <c r="E56">
        <v>18385.740000000002</v>
      </c>
      <c r="F56">
        <v>2.4334543820897503E-3</v>
      </c>
      <c r="G56">
        <v>-8.7712719415724782E-2</v>
      </c>
    </row>
    <row r="57" spans="1:7" x14ac:dyDescent="0.3">
      <c r="A57">
        <v>44159</v>
      </c>
      <c r="B57">
        <v>19419.490000000002</v>
      </c>
      <c r="C57">
        <v>18117.78</v>
      </c>
      <c r="D57">
        <v>18385.740000000002</v>
      </c>
      <c r="E57">
        <v>19157.16</v>
      </c>
      <c r="F57">
        <v>-4.1957517075733586E-2</v>
      </c>
      <c r="G57">
        <v>6.8129955838654999E-3</v>
      </c>
    </row>
    <row r="58" spans="1:7" x14ac:dyDescent="0.3">
      <c r="A58">
        <v>44160</v>
      </c>
      <c r="B58">
        <v>19488.810000000001</v>
      </c>
      <c r="C58">
        <v>18519.89</v>
      </c>
      <c r="D58">
        <v>19157.16</v>
      </c>
      <c r="E58">
        <v>18725.759999999998</v>
      </c>
      <c r="F58">
        <v>2.2518995508728934E-2</v>
      </c>
      <c r="G58">
        <v>5.8811861549142197E-2</v>
      </c>
    </row>
    <row r="59" spans="1:7" x14ac:dyDescent="0.3">
      <c r="A59">
        <v>44161</v>
      </c>
      <c r="B59">
        <v>18907.310000000001</v>
      </c>
      <c r="C59">
        <v>16270.37</v>
      </c>
      <c r="D59">
        <v>18725.759999999998</v>
      </c>
      <c r="E59">
        <v>17175.86</v>
      </c>
      <c r="F59">
        <v>8.276833623842228E-2</v>
      </c>
      <c r="G59">
        <v>8.6371619248331477E-2</v>
      </c>
    </row>
    <row r="60" spans="1:7" x14ac:dyDescent="0.3">
      <c r="A60">
        <v>44162</v>
      </c>
      <c r="B60">
        <v>17479.12</v>
      </c>
      <c r="C60">
        <v>16462.87</v>
      </c>
      <c r="D60">
        <v>17175.86</v>
      </c>
      <c r="E60">
        <v>17155</v>
      </c>
      <c r="F60">
        <v>1.2144952276043064E-3</v>
      </c>
      <c r="G60">
        <v>2.671946484179788E-3</v>
      </c>
    </row>
    <row r="61" spans="1:7" x14ac:dyDescent="0.3">
      <c r="A61">
        <v>44163</v>
      </c>
      <c r="B61">
        <v>17893.95</v>
      </c>
      <c r="C61">
        <v>16895</v>
      </c>
      <c r="D61">
        <v>17155</v>
      </c>
      <c r="E61">
        <v>17739.900000000001</v>
      </c>
      <c r="F61">
        <v>-3.4095016030311953E-2</v>
      </c>
      <c r="G61">
        <v>-3.6929244646608739E-2</v>
      </c>
    </row>
    <row r="62" spans="1:7" x14ac:dyDescent="0.3">
      <c r="A62">
        <v>44164</v>
      </c>
      <c r="B62">
        <v>18347.240000000002</v>
      </c>
      <c r="C62">
        <v>17543.55</v>
      </c>
      <c r="D62">
        <v>17739.900000000001</v>
      </c>
      <c r="E62">
        <v>18314.28</v>
      </c>
      <c r="F62">
        <v>-3.2377860078128817E-2</v>
      </c>
      <c r="G62">
        <v>-5.0354095801037335E-2</v>
      </c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8A9A1-41FF-429B-A3C8-2B1329AB8AA9}">
  <sheetPr codeName="Sheet19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44104</v>
      </c>
      <c r="B2">
        <v>1.0069999999999999</v>
      </c>
      <c r="C2">
        <v>0.98980000000000001</v>
      </c>
      <c r="D2">
        <v>1</v>
      </c>
      <c r="E2">
        <v>1</v>
      </c>
      <c r="F2"/>
      <c r="G2"/>
    </row>
    <row r="3" spans="1:7" x14ac:dyDescent="0.3">
      <c r="A3">
        <v>44105</v>
      </c>
      <c r="B3">
        <v>1.0289999999999999</v>
      </c>
      <c r="C3">
        <v>0.98480000000000001</v>
      </c>
      <c r="D3">
        <v>1</v>
      </c>
      <c r="E3">
        <v>1.0009999999999999</v>
      </c>
      <c r="F3">
        <v>-9.9999999999988987E-4</v>
      </c>
      <c r="G3">
        <v>1.8370296259240804E-2</v>
      </c>
    </row>
    <row r="4" spans="1:7" x14ac:dyDescent="0.3">
      <c r="A4">
        <v>44106</v>
      </c>
      <c r="B4">
        <v>1.0089999999999999</v>
      </c>
      <c r="C4">
        <v>0.98240000000000005</v>
      </c>
      <c r="D4">
        <v>1.0009999999999999</v>
      </c>
      <c r="E4">
        <v>1</v>
      </c>
      <c r="F4">
        <v>9.9900099900085415E-4</v>
      </c>
      <c r="G4">
        <v>2.0894085671413598E-2</v>
      </c>
    </row>
    <row r="5" spans="1:7" x14ac:dyDescent="0.3">
      <c r="A5">
        <v>44107</v>
      </c>
      <c r="B5">
        <v>1.0049999999999999</v>
      </c>
      <c r="C5">
        <v>0.996</v>
      </c>
      <c r="D5">
        <v>1</v>
      </c>
      <c r="E5">
        <v>1</v>
      </c>
      <c r="F5">
        <v>0</v>
      </c>
      <c r="G5">
        <v>-1.4168811265651282E-3</v>
      </c>
    </row>
    <row r="6" spans="1:7" x14ac:dyDescent="0.3">
      <c r="A6">
        <v>44108</v>
      </c>
      <c r="B6">
        <v>1.002</v>
      </c>
      <c r="C6">
        <v>0.98699999999999999</v>
      </c>
      <c r="D6">
        <v>1</v>
      </c>
      <c r="E6">
        <v>1</v>
      </c>
      <c r="F6">
        <v>0</v>
      </c>
      <c r="G6">
        <v>-1.816239316239332E-2</v>
      </c>
    </row>
    <row r="7" spans="1:7" x14ac:dyDescent="0.3">
      <c r="A7">
        <v>44109</v>
      </c>
      <c r="B7">
        <v>1.0009999999999999</v>
      </c>
      <c r="C7">
        <v>0.98509999999999998</v>
      </c>
      <c r="D7">
        <v>1</v>
      </c>
      <c r="E7">
        <v>1.0009999999999999</v>
      </c>
      <c r="F7">
        <v>-9.9999999999988987E-4</v>
      </c>
      <c r="G7">
        <v>-3.2613936076684169E-3</v>
      </c>
    </row>
    <row r="8" spans="1:7" x14ac:dyDescent="0.3">
      <c r="A8">
        <v>44110</v>
      </c>
      <c r="B8">
        <v>1.0189999999999999</v>
      </c>
      <c r="C8">
        <v>0.99370000000000003</v>
      </c>
      <c r="D8">
        <v>1.0009999999999999</v>
      </c>
      <c r="E8">
        <v>1</v>
      </c>
      <c r="F8">
        <v>9.9900099900085415E-4</v>
      </c>
      <c r="G8">
        <v>3.6493668023518722E-2</v>
      </c>
    </row>
    <row r="9" spans="1:7" x14ac:dyDescent="0.3">
      <c r="A9">
        <v>44111</v>
      </c>
      <c r="B9">
        <v>1</v>
      </c>
      <c r="C9">
        <v>0.98870000000000002</v>
      </c>
      <c r="D9">
        <v>1</v>
      </c>
      <c r="E9">
        <v>0.99980000000000002</v>
      </c>
      <c r="F9">
        <v>1.9999999999997797E-4</v>
      </c>
      <c r="G9">
        <v>-3.1098723778788528E-3</v>
      </c>
    </row>
    <row r="10" spans="1:7" x14ac:dyDescent="0.3">
      <c r="A10">
        <v>44112</v>
      </c>
      <c r="B10">
        <v>1.0029999999999999</v>
      </c>
      <c r="C10">
        <v>0.96489999999999998</v>
      </c>
      <c r="D10">
        <v>0.99980000000000002</v>
      </c>
      <c r="E10">
        <v>1</v>
      </c>
      <c r="F10">
        <v>-2.000400080015563E-4</v>
      </c>
      <c r="G10">
        <v>-2.7170892925038714E-2</v>
      </c>
    </row>
    <row r="11" spans="1:7" x14ac:dyDescent="0.3">
      <c r="A11">
        <v>44113</v>
      </c>
      <c r="B11">
        <v>1.0049999999999999</v>
      </c>
      <c r="C11">
        <v>0.98029999999999995</v>
      </c>
      <c r="D11">
        <v>1</v>
      </c>
      <c r="E11">
        <v>1</v>
      </c>
      <c r="F11">
        <v>0</v>
      </c>
      <c r="G11">
        <v>-4.0461275626423765E-2</v>
      </c>
    </row>
    <row r="12" spans="1:7" x14ac:dyDescent="0.3">
      <c r="A12">
        <v>44114</v>
      </c>
      <c r="B12">
        <v>1.016</v>
      </c>
      <c r="C12">
        <v>0.97829999999999995</v>
      </c>
      <c r="D12">
        <v>1</v>
      </c>
      <c r="E12">
        <v>0.99980000000000002</v>
      </c>
      <c r="F12">
        <v>1.9999999999997797E-4</v>
      </c>
      <c r="G12">
        <v>-1.4969486330423276E-2</v>
      </c>
    </row>
    <row r="13" spans="1:7" x14ac:dyDescent="0.3">
      <c r="A13">
        <v>44115</v>
      </c>
      <c r="B13">
        <v>1.0049999999999999</v>
      </c>
      <c r="C13">
        <v>0.99209999999999998</v>
      </c>
      <c r="D13">
        <v>0.99980000000000002</v>
      </c>
      <c r="E13">
        <v>1</v>
      </c>
      <c r="F13">
        <v>-2.000400080015563E-4</v>
      </c>
      <c r="G13">
        <v>-9.4100517687663032E-3</v>
      </c>
    </row>
    <row r="14" spans="1:7" x14ac:dyDescent="0.3">
      <c r="A14">
        <v>44116</v>
      </c>
      <c r="B14">
        <v>1.016</v>
      </c>
      <c r="C14">
        <v>0.97250000000000003</v>
      </c>
      <c r="D14">
        <v>1</v>
      </c>
      <c r="E14">
        <v>0.99980000000000002</v>
      </c>
      <c r="F14">
        <v>1.9999999999997797E-4</v>
      </c>
      <c r="G14">
        <v>-3.3496273739882954E-2</v>
      </c>
    </row>
    <row r="15" spans="1:7" x14ac:dyDescent="0.3">
      <c r="A15">
        <v>44117</v>
      </c>
      <c r="B15">
        <v>1.012</v>
      </c>
      <c r="C15">
        <v>0.99029999999999996</v>
      </c>
      <c r="D15">
        <v>0.99980000000000002</v>
      </c>
      <c r="E15">
        <v>1</v>
      </c>
      <c r="F15">
        <v>-2.000400080015563E-4</v>
      </c>
      <c r="G15">
        <v>1.421519216355227E-2</v>
      </c>
    </row>
    <row r="16" spans="1:7" x14ac:dyDescent="0.3">
      <c r="A16">
        <v>44118</v>
      </c>
      <c r="B16">
        <v>1.0109999999999999</v>
      </c>
      <c r="C16">
        <v>0.98919999999999997</v>
      </c>
      <c r="D16">
        <v>1</v>
      </c>
      <c r="E16">
        <v>1.0009999999999999</v>
      </c>
      <c r="F16">
        <v>-9.9999999999988987E-4</v>
      </c>
      <c r="G16">
        <v>6.0302561547941336E-3</v>
      </c>
    </row>
    <row r="17" spans="1:7" x14ac:dyDescent="0.3">
      <c r="A17">
        <v>44119</v>
      </c>
      <c r="B17">
        <v>1.0089999999999999</v>
      </c>
      <c r="C17">
        <v>0.97950000000000004</v>
      </c>
      <c r="D17">
        <v>1.0009999999999999</v>
      </c>
      <c r="E17">
        <v>1</v>
      </c>
      <c r="F17">
        <v>9.9900099900085415E-4</v>
      </c>
      <c r="G17">
        <v>3.7192371607185359E-3</v>
      </c>
    </row>
    <row r="18" spans="1:7" x14ac:dyDescent="0.3">
      <c r="A18">
        <v>44120</v>
      </c>
      <c r="B18">
        <v>1.0189999999999999</v>
      </c>
      <c r="C18">
        <v>0.99109999999999998</v>
      </c>
      <c r="D18">
        <v>1</v>
      </c>
      <c r="E18">
        <v>1</v>
      </c>
      <c r="F18">
        <v>0</v>
      </c>
      <c r="G18">
        <v>3.2088959491660018E-2</v>
      </c>
    </row>
    <row r="19" spans="1:7" x14ac:dyDescent="0.3">
      <c r="A19">
        <v>44121</v>
      </c>
      <c r="B19">
        <v>1.004</v>
      </c>
      <c r="C19">
        <v>0.99139999999999995</v>
      </c>
      <c r="D19">
        <v>1</v>
      </c>
      <c r="E19">
        <v>0.99990000000000001</v>
      </c>
      <c r="F19">
        <v>9.9999999999988987E-5</v>
      </c>
      <c r="G19">
        <v>-8.3976147491657827E-3</v>
      </c>
    </row>
    <row r="20" spans="1:7" x14ac:dyDescent="0.3">
      <c r="A20">
        <v>44122</v>
      </c>
      <c r="B20">
        <v>1</v>
      </c>
      <c r="C20">
        <v>0.98670000000000002</v>
      </c>
      <c r="D20">
        <v>0.99990000000000001</v>
      </c>
      <c r="E20">
        <v>1</v>
      </c>
      <c r="F20">
        <v>-1.0001000100001711E-4</v>
      </c>
      <c r="G20">
        <v>-2.6556354265563575E-2</v>
      </c>
    </row>
    <row r="21" spans="1:7" x14ac:dyDescent="0.3">
      <c r="A21">
        <v>44123</v>
      </c>
      <c r="B21">
        <v>1.006</v>
      </c>
      <c r="C21">
        <v>0.97130000000000005</v>
      </c>
      <c r="D21">
        <v>1</v>
      </c>
      <c r="E21">
        <v>1</v>
      </c>
      <c r="F21">
        <v>0</v>
      </c>
      <c r="G21">
        <v>-2.5631540006343378E-3</v>
      </c>
    </row>
    <row r="22" spans="1:7" x14ac:dyDescent="0.3">
      <c r="A22">
        <v>44124</v>
      </c>
      <c r="B22">
        <v>1.01</v>
      </c>
      <c r="C22">
        <v>0.98029999999999995</v>
      </c>
      <c r="D22">
        <v>1</v>
      </c>
      <c r="E22">
        <v>0.99990000000000001</v>
      </c>
      <c r="F22">
        <v>9.9999999999988987E-5</v>
      </c>
      <c r="G22">
        <v>2.8122611422998878E-2</v>
      </c>
    </row>
    <row r="23" spans="1:7" x14ac:dyDescent="0.3">
      <c r="A23">
        <v>44125</v>
      </c>
      <c r="B23">
        <v>1.032</v>
      </c>
      <c r="C23">
        <v>0.92820000000000003</v>
      </c>
      <c r="D23">
        <v>0.99990000000000001</v>
      </c>
      <c r="E23">
        <v>0.99929999999999997</v>
      </c>
      <c r="F23">
        <v>6.0006000600065779E-4</v>
      </c>
      <c r="G23">
        <v>-6.1615230243531993E-2</v>
      </c>
    </row>
    <row r="24" spans="1:7" x14ac:dyDescent="0.3">
      <c r="A24">
        <v>44126</v>
      </c>
      <c r="B24">
        <v>1.016</v>
      </c>
      <c r="C24">
        <v>0.97799999999999998</v>
      </c>
      <c r="D24">
        <v>0.99929999999999997</v>
      </c>
      <c r="E24">
        <v>1</v>
      </c>
      <c r="F24">
        <v>-7.0049034324037862E-4</v>
      </c>
      <c r="G24">
        <v>-5.8856588157155221E-2</v>
      </c>
    </row>
    <row r="25" spans="1:7" x14ac:dyDescent="0.3">
      <c r="A25">
        <v>44127</v>
      </c>
      <c r="B25">
        <v>1.0069999999999999</v>
      </c>
      <c r="C25">
        <v>0.9839</v>
      </c>
      <c r="D25">
        <v>1</v>
      </c>
      <c r="E25">
        <v>0.99970000000000003</v>
      </c>
      <c r="F25">
        <v>2.9999999999996696E-4</v>
      </c>
      <c r="G25">
        <v>1.189384800965021E-2</v>
      </c>
    </row>
    <row r="26" spans="1:7" x14ac:dyDescent="0.3">
      <c r="A26">
        <v>44128</v>
      </c>
      <c r="B26">
        <v>1.0029999999999999</v>
      </c>
      <c r="C26">
        <v>0.98170000000000002</v>
      </c>
      <c r="D26">
        <v>0.99970000000000003</v>
      </c>
      <c r="E26">
        <v>1</v>
      </c>
      <c r="F26">
        <v>-3.0009002700803755E-4</v>
      </c>
      <c r="G26">
        <v>-7.275923529555417E-3</v>
      </c>
    </row>
    <row r="27" spans="1:7" x14ac:dyDescent="0.3">
      <c r="A27">
        <v>44129</v>
      </c>
      <c r="B27">
        <v>1.0229999999999999</v>
      </c>
      <c r="C27">
        <v>0.9899</v>
      </c>
      <c r="D27">
        <v>1</v>
      </c>
      <c r="E27">
        <v>0.99990000000000001</v>
      </c>
      <c r="F27">
        <v>9.9999999999988987E-5</v>
      </c>
      <c r="G27">
        <v>1.5004241910071547E-2</v>
      </c>
    </row>
    <row r="28" spans="1:7" x14ac:dyDescent="0.3">
      <c r="A28">
        <v>44130</v>
      </c>
      <c r="B28">
        <v>1.0129999999999999</v>
      </c>
      <c r="C28">
        <v>0.97870000000000001</v>
      </c>
      <c r="D28">
        <v>0.99990000000000001</v>
      </c>
      <c r="E28">
        <v>0.99950000000000006</v>
      </c>
      <c r="F28">
        <v>4.0004000400040152E-4</v>
      </c>
      <c r="G28">
        <v>3.2606555763362577E-2</v>
      </c>
    </row>
    <row r="29" spans="1:7" x14ac:dyDescent="0.3">
      <c r="A29">
        <v>44131</v>
      </c>
      <c r="B29">
        <v>1.01</v>
      </c>
      <c r="C29">
        <v>0.95669999999999999</v>
      </c>
      <c r="D29">
        <v>0.99950000000000006</v>
      </c>
      <c r="E29">
        <v>0.99960000000000004</v>
      </c>
      <c r="F29">
        <v>-1.0005002501256577E-4</v>
      </c>
      <c r="G29">
        <v>-2.7040777390552329E-2</v>
      </c>
    </row>
    <row r="30" spans="1:7" x14ac:dyDescent="0.3">
      <c r="A30">
        <v>44132</v>
      </c>
      <c r="B30">
        <v>1.0429999999999999</v>
      </c>
      <c r="C30">
        <v>0.97170000000000001</v>
      </c>
      <c r="D30">
        <v>0.99960000000000004</v>
      </c>
      <c r="E30">
        <v>1</v>
      </c>
      <c r="F30">
        <v>-4.0016006402554538E-4</v>
      </c>
      <c r="G30">
        <v>3.7078317729231758E-2</v>
      </c>
    </row>
    <row r="31" spans="1:7" x14ac:dyDescent="0.3">
      <c r="A31">
        <v>44133</v>
      </c>
      <c r="B31">
        <v>1.014</v>
      </c>
      <c r="C31">
        <v>0.9647</v>
      </c>
      <c r="D31">
        <v>1</v>
      </c>
      <c r="E31">
        <v>1</v>
      </c>
      <c r="F31">
        <v>0</v>
      </c>
      <c r="G31">
        <v>3.163824369164181E-3</v>
      </c>
    </row>
    <row r="32" spans="1:7" x14ac:dyDescent="0.3">
      <c r="A32">
        <v>44134</v>
      </c>
      <c r="B32">
        <v>1.008</v>
      </c>
      <c r="C32">
        <v>0.96809999999999996</v>
      </c>
      <c r="D32">
        <v>1</v>
      </c>
      <c r="E32">
        <v>1</v>
      </c>
      <c r="F32">
        <v>0</v>
      </c>
      <c r="G32">
        <v>1.2334210662125256E-2</v>
      </c>
    </row>
    <row r="33" spans="1:7" x14ac:dyDescent="0.3">
      <c r="A33">
        <v>44135</v>
      </c>
      <c r="B33">
        <v>1.02</v>
      </c>
      <c r="C33">
        <v>0.97309999999999997</v>
      </c>
      <c r="D33">
        <v>1</v>
      </c>
      <c r="E33">
        <v>1</v>
      </c>
      <c r="F33">
        <v>0</v>
      </c>
      <c r="G33">
        <v>-1.0476538823283477E-2</v>
      </c>
    </row>
    <row r="34" spans="1:7" x14ac:dyDescent="0.3">
      <c r="A34">
        <v>44136</v>
      </c>
      <c r="B34">
        <v>1.01</v>
      </c>
      <c r="C34">
        <v>0.99070000000000003</v>
      </c>
      <c r="D34">
        <v>1</v>
      </c>
      <c r="E34">
        <v>1</v>
      </c>
      <c r="F34">
        <v>0</v>
      </c>
      <c r="G34">
        <v>-2.5803449078263707E-2</v>
      </c>
    </row>
    <row r="35" spans="1:7" x14ac:dyDescent="0.3">
      <c r="A35">
        <v>44137</v>
      </c>
      <c r="B35">
        <v>1.0189999999999999</v>
      </c>
      <c r="C35">
        <v>0.97419999999999995</v>
      </c>
      <c r="D35">
        <v>1</v>
      </c>
      <c r="E35">
        <v>0.99990000000000001</v>
      </c>
      <c r="F35">
        <v>9.9999999999988987E-5</v>
      </c>
      <c r="G35">
        <v>3.3119092627599156E-2</v>
      </c>
    </row>
    <row r="36" spans="1:7" x14ac:dyDescent="0.3">
      <c r="A36">
        <v>44138</v>
      </c>
      <c r="B36">
        <v>1.004</v>
      </c>
      <c r="C36">
        <v>0.94869999999999999</v>
      </c>
      <c r="D36">
        <v>0.99990000000000001</v>
      </c>
      <c r="E36">
        <v>1</v>
      </c>
      <c r="F36">
        <v>-1.0001000100001711E-4</v>
      </c>
      <c r="G36">
        <v>-1.191314095044449E-2</v>
      </c>
    </row>
    <row r="37" spans="1:7" x14ac:dyDescent="0.3">
      <c r="A37">
        <v>44139</v>
      </c>
      <c r="B37">
        <v>1.008</v>
      </c>
      <c r="C37">
        <v>0.95699999999999996</v>
      </c>
      <c r="D37">
        <v>1</v>
      </c>
      <c r="E37">
        <v>1.0009999999999999</v>
      </c>
      <c r="F37">
        <v>-9.9999999999988987E-4</v>
      </c>
      <c r="G37">
        <v>-3.730228244628786E-2</v>
      </c>
    </row>
    <row r="38" spans="1:7" x14ac:dyDescent="0.3">
      <c r="A38">
        <v>44140</v>
      </c>
      <c r="B38">
        <v>1.0089999999999999</v>
      </c>
      <c r="C38">
        <v>0.90500000000000003</v>
      </c>
      <c r="D38">
        <v>1.0009999999999999</v>
      </c>
      <c r="E38">
        <v>1</v>
      </c>
      <c r="F38">
        <v>9.9900099900085415E-4</v>
      </c>
      <c r="G38">
        <v>-3.5339989072666667E-2</v>
      </c>
    </row>
    <row r="39" spans="1:7" x14ac:dyDescent="0.3">
      <c r="A39">
        <v>44141</v>
      </c>
      <c r="B39">
        <v>1.0229999999999999</v>
      </c>
      <c r="C39">
        <v>0.97599999999999998</v>
      </c>
      <c r="D39">
        <v>1</v>
      </c>
      <c r="E39">
        <v>0.99980000000000002</v>
      </c>
      <c r="F39">
        <v>1.9999999999997797E-4</v>
      </c>
      <c r="G39">
        <v>-9.4581304420830348E-2</v>
      </c>
    </row>
    <row r="40" spans="1:7" x14ac:dyDescent="0.3">
      <c r="A40">
        <v>44142</v>
      </c>
      <c r="B40">
        <v>1.0620000000000001</v>
      </c>
      <c r="C40">
        <v>0.97209999999999996</v>
      </c>
      <c r="D40">
        <v>0.99980000000000002</v>
      </c>
      <c r="E40">
        <v>0.99980000000000002</v>
      </c>
      <c r="F40">
        <v>0</v>
      </c>
      <c r="G40">
        <v>4.4924614305750343E-2</v>
      </c>
    </row>
    <row r="41" spans="1:7" x14ac:dyDescent="0.3">
      <c r="A41">
        <v>44143</v>
      </c>
      <c r="B41">
        <v>1.0109999999999999</v>
      </c>
      <c r="C41">
        <v>0.95150000000000001</v>
      </c>
      <c r="D41">
        <v>0.99980000000000002</v>
      </c>
      <c r="E41">
        <v>0.99990000000000001</v>
      </c>
      <c r="F41">
        <v>-1.0002000400088917E-4</v>
      </c>
      <c r="G41">
        <v>-4.3412417970721817E-2</v>
      </c>
    </row>
    <row r="42" spans="1:7" x14ac:dyDescent="0.3">
      <c r="A42">
        <v>44144</v>
      </c>
      <c r="B42">
        <v>1.0309999999999999</v>
      </c>
      <c r="C42">
        <v>0.96760000000000002</v>
      </c>
      <c r="D42">
        <v>0.99990000000000001</v>
      </c>
      <c r="E42">
        <v>1</v>
      </c>
      <c r="F42">
        <v>-1.0001000100001711E-4</v>
      </c>
      <c r="G42">
        <v>2.2628315081145267E-2</v>
      </c>
    </row>
    <row r="43" spans="1:7" x14ac:dyDescent="0.3">
      <c r="A43">
        <v>44145</v>
      </c>
      <c r="B43">
        <v>1.0109999999999999</v>
      </c>
      <c r="C43">
        <v>0.98599999999999999</v>
      </c>
      <c r="D43">
        <v>1</v>
      </c>
      <c r="E43">
        <v>1</v>
      </c>
      <c r="F43">
        <v>0</v>
      </c>
      <c r="G43">
        <v>-1.4422319721003607E-2</v>
      </c>
    </row>
    <row r="44" spans="1:7" x14ac:dyDescent="0.3">
      <c r="A44">
        <v>44146</v>
      </c>
      <c r="B44">
        <v>1.018</v>
      </c>
      <c r="C44">
        <v>0.97360000000000002</v>
      </c>
      <c r="D44">
        <v>1</v>
      </c>
      <c r="E44">
        <v>1</v>
      </c>
      <c r="F44">
        <v>0</v>
      </c>
      <c r="G44">
        <v>-2.8944683493767442E-2</v>
      </c>
    </row>
    <row r="45" spans="1:7" x14ac:dyDescent="0.3">
      <c r="A45">
        <v>44147</v>
      </c>
      <c r="B45">
        <v>1.002</v>
      </c>
      <c r="C45">
        <v>0.94889999999999997</v>
      </c>
      <c r="D45">
        <v>1</v>
      </c>
      <c r="E45">
        <v>0.99980000000000002</v>
      </c>
      <c r="F45">
        <v>1.9999999999997797E-4</v>
      </c>
      <c r="G45">
        <v>2.4358172921472576E-3</v>
      </c>
    </row>
    <row r="46" spans="1:7" x14ac:dyDescent="0.3">
      <c r="A46">
        <v>44148</v>
      </c>
      <c r="B46">
        <v>1.0089999999999999</v>
      </c>
      <c r="C46">
        <v>0.9778</v>
      </c>
      <c r="D46">
        <v>0.99980000000000002</v>
      </c>
      <c r="E46">
        <v>0.99970000000000003</v>
      </c>
      <c r="F46">
        <v>1.0002000400077815E-4</v>
      </c>
      <c r="G46">
        <v>-3.0446432430096371E-2</v>
      </c>
    </row>
    <row r="47" spans="1:7" x14ac:dyDescent="0.3">
      <c r="A47">
        <v>44149</v>
      </c>
      <c r="B47">
        <v>1.016</v>
      </c>
      <c r="C47">
        <v>0.97740000000000005</v>
      </c>
      <c r="D47">
        <v>0.99970000000000003</v>
      </c>
      <c r="E47">
        <v>0.99950000000000006</v>
      </c>
      <c r="F47">
        <v>2.0006001800543238E-4</v>
      </c>
      <c r="G47">
        <v>3.3216599911925715E-2</v>
      </c>
    </row>
    <row r="48" spans="1:7" x14ac:dyDescent="0.3">
      <c r="A48">
        <v>44150</v>
      </c>
      <c r="B48">
        <v>1.012</v>
      </c>
      <c r="C48">
        <v>0.98950000000000005</v>
      </c>
      <c r="D48">
        <v>0.99950000000000006</v>
      </c>
      <c r="E48">
        <v>1</v>
      </c>
      <c r="F48">
        <v>-5.0025012506238475E-4</v>
      </c>
      <c r="G48">
        <v>2.7156584170227482E-2</v>
      </c>
    </row>
    <row r="49" spans="1:7" x14ac:dyDescent="0.3">
      <c r="A49">
        <v>44151</v>
      </c>
      <c r="B49">
        <v>1.01</v>
      </c>
      <c r="C49">
        <v>0.95030000000000003</v>
      </c>
      <c r="D49">
        <v>1</v>
      </c>
      <c r="E49">
        <v>1.0009999999999999</v>
      </c>
      <c r="F49">
        <v>-9.9999999999988987E-4</v>
      </c>
      <c r="G49">
        <v>-2.7870058638603368E-2</v>
      </c>
    </row>
    <row r="50" spans="1:7" x14ac:dyDescent="0.3">
      <c r="A50">
        <v>44152</v>
      </c>
      <c r="B50">
        <v>1.0109999999999999</v>
      </c>
      <c r="C50">
        <v>0.9375</v>
      </c>
      <c r="D50">
        <v>1.0009999999999999</v>
      </c>
      <c r="E50">
        <v>1.0009999999999999</v>
      </c>
      <c r="F50">
        <v>0</v>
      </c>
      <c r="G50">
        <v>-4.7070562460684195E-2</v>
      </c>
    </row>
    <row r="51" spans="1:7" x14ac:dyDescent="0.3">
      <c r="A51">
        <v>44153</v>
      </c>
      <c r="B51">
        <v>1.038</v>
      </c>
      <c r="C51">
        <v>0.97009999999999996</v>
      </c>
      <c r="D51">
        <v>1.0009999999999999</v>
      </c>
      <c r="E51">
        <v>0.99960000000000004</v>
      </c>
      <c r="F51">
        <v>1.3986013986012624E-3</v>
      </c>
      <c r="G51">
        <v>8.1829669988191522E-3</v>
      </c>
    </row>
    <row r="52" spans="1:7" x14ac:dyDescent="0.3">
      <c r="A52">
        <v>44154</v>
      </c>
      <c r="B52">
        <v>1.02</v>
      </c>
      <c r="C52">
        <v>0.97440000000000004</v>
      </c>
      <c r="D52">
        <v>0.99960000000000004</v>
      </c>
      <c r="E52">
        <v>1</v>
      </c>
      <c r="F52">
        <v>-4.0016006402554538E-4</v>
      </c>
      <c r="G52">
        <v>1.4495780766981325E-2</v>
      </c>
    </row>
    <row r="53" spans="1:7" x14ac:dyDescent="0.3">
      <c r="A53">
        <v>44155</v>
      </c>
      <c r="B53">
        <v>1.0069999999999999</v>
      </c>
      <c r="C53">
        <v>0.95109999999999995</v>
      </c>
      <c r="D53">
        <v>1</v>
      </c>
      <c r="E53">
        <v>0.99970000000000003</v>
      </c>
      <c r="F53">
        <v>2.9999999999996696E-4</v>
      </c>
      <c r="G53">
        <v>-8.1832054597092085E-2</v>
      </c>
    </row>
    <row r="54" spans="1:7" x14ac:dyDescent="0.3">
      <c r="A54">
        <v>44156</v>
      </c>
      <c r="B54">
        <v>1.014</v>
      </c>
      <c r="C54">
        <v>0.98160000000000003</v>
      </c>
      <c r="D54">
        <v>0.99970000000000003</v>
      </c>
      <c r="E54">
        <v>1</v>
      </c>
      <c r="F54">
        <v>-3.0009002700803755E-4</v>
      </c>
      <c r="G54">
        <v>-8.195051231314765E-2</v>
      </c>
    </row>
    <row r="55" spans="1:7" x14ac:dyDescent="0.3">
      <c r="A55">
        <v>44157</v>
      </c>
      <c r="B55">
        <v>1.0169999999999999</v>
      </c>
      <c r="C55">
        <v>0.95599999999999996</v>
      </c>
      <c r="D55">
        <v>1</v>
      </c>
      <c r="E55">
        <v>0.99909999999999999</v>
      </c>
      <c r="F55">
        <v>9.000000000000119E-4</v>
      </c>
      <c r="G55">
        <v>-1.4033245210589129E-2</v>
      </c>
    </row>
    <row r="56" spans="1:7" x14ac:dyDescent="0.3">
      <c r="A56">
        <v>44158</v>
      </c>
      <c r="B56">
        <v>1.02</v>
      </c>
      <c r="C56">
        <v>0.97909999999999997</v>
      </c>
      <c r="D56">
        <v>0.99909999999999999</v>
      </c>
      <c r="E56">
        <v>0.99950000000000006</v>
      </c>
      <c r="F56">
        <v>-4.0036032429191515E-4</v>
      </c>
      <c r="G56">
        <v>-8.7712719415724782E-2</v>
      </c>
    </row>
    <row r="57" spans="1:7" x14ac:dyDescent="0.3">
      <c r="A57">
        <v>44159</v>
      </c>
      <c r="B57">
        <v>1.014</v>
      </c>
      <c r="C57">
        <v>0.94579999999999997</v>
      </c>
      <c r="D57">
        <v>0.99950000000000006</v>
      </c>
      <c r="E57">
        <v>1</v>
      </c>
      <c r="F57">
        <v>-5.0025012506238475E-4</v>
      </c>
      <c r="G57">
        <v>6.8129955838654999E-3</v>
      </c>
    </row>
    <row r="58" spans="1:7" x14ac:dyDescent="0.3">
      <c r="A58">
        <v>44160</v>
      </c>
      <c r="B58">
        <v>1.04</v>
      </c>
      <c r="C58">
        <v>0.98860000000000003</v>
      </c>
      <c r="D58">
        <v>1</v>
      </c>
      <c r="E58">
        <v>0.99960000000000004</v>
      </c>
      <c r="F58">
        <v>3.9999999999995595E-4</v>
      </c>
      <c r="G58">
        <v>5.8811861549142197E-2</v>
      </c>
    </row>
    <row r="59" spans="1:7" x14ac:dyDescent="0.3">
      <c r="A59">
        <v>44161</v>
      </c>
      <c r="B59">
        <v>1.101</v>
      </c>
      <c r="C59">
        <v>0.94779999999999998</v>
      </c>
      <c r="D59">
        <v>0.99960000000000004</v>
      </c>
      <c r="E59">
        <v>1.0009999999999999</v>
      </c>
      <c r="F59">
        <v>-1.4005602240894088E-3</v>
      </c>
      <c r="G59">
        <v>8.6371619248331477E-2</v>
      </c>
    </row>
    <row r="60" spans="1:7" x14ac:dyDescent="0.3">
      <c r="A60">
        <v>44162</v>
      </c>
      <c r="B60">
        <v>1.02</v>
      </c>
      <c r="C60">
        <v>0.96079999999999999</v>
      </c>
      <c r="D60">
        <v>1.0009999999999999</v>
      </c>
      <c r="E60">
        <v>1.0009999999999999</v>
      </c>
      <c r="F60">
        <v>0</v>
      </c>
      <c r="G60">
        <v>2.671946484179788E-3</v>
      </c>
    </row>
    <row r="61" spans="1:7" x14ac:dyDescent="0.3">
      <c r="A61">
        <v>44163</v>
      </c>
      <c r="B61">
        <v>1.0089999999999999</v>
      </c>
      <c r="C61">
        <v>0.95240000000000002</v>
      </c>
      <c r="D61">
        <v>1.0009999999999999</v>
      </c>
      <c r="E61">
        <v>1</v>
      </c>
      <c r="F61">
        <v>9.9900099900085415E-4</v>
      </c>
      <c r="G61">
        <v>-3.6929244646608739E-2</v>
      </c>
    </row>
    <row r="62" spans="1:7" x14ac:dyDescent="0.3">
      <c r="A62">
        <v>44164</v>
      </c>
      <c r="B62">
        <v>1</v>
      </c>
      <c r="C62">
        <v>0.99929999999999997</v>
      </c>
      <c r="D62">
        <v>0.99990000000000001</v>
      </c>
      <c r="E62">
        <v>1</v>
      </c>
      <c r="F62">
        <v>0</v>
      </c>
      <c r="G62">
        <v>-5.0354095801037335E-2</v>
      </c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CB8DA-A798-4262-BFB8-82F0C74997CC}">
  <sheetPr codeName="Sheet7">
    <tabColor rgb="FFC6E0B4"/>
  </sheetPr>
  <dimension ref="A1:G99"/>
  <sheetViews>
    <sheetView workbookViewId="0">
      <selection activeCell="G3" sqref="G3:G32"/>
    </sheetView>
  </sheetViews>
  <sheetFormatPr defaultRowHeight="14.4" x14ac:dyDescent="0.3"/>
  <cols>
    <col min="1" max="1" width="8.88671875" style="3"/>
    <col min="2" max="5" width="8.88671875" style="4"/>
    <col min="6" max="6" width="8.88671875" style="5"/>
    <col min="7" max="7" width="8.886718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44104</v>
      </c>
      <c r="B2">
        <v>361.43</v>
      </c>
      <c r="C2">
        <v>355.4</v>
      </c>
      <c r="D2">
        <v>359.82</v>
      </c>
      <c r="E2">
        <v>359.82</v>
      </c>
      <c r="F2"/>
      <c r="G2"/>
    </row>
    <row r="3" spans="1:7" x14ac:dyDescent="0.3">
      <c r="A3">
        <v>44105</v>
      </c>
      <c r="B3">
        <v>359.37</v>
      </c>
      <c r="C3">
        <v>350.66</v>
      </c>
      <c r="D3">
        <v>359.82</v>
      </c>
      <c r="E3">
        <v>353.21</v>
      </c>
      <c r="F3">
        <v>1.8370296259240804E-2</v>
      </c>
      <c r="G3">
        <v>1.8370296259240804E-2</v>
      </c>
    </row>
    <row r="4" spans="1:7" x14ac:dyDescent="0.3">
      <c r="A4">
        <v>44106</v>
      </c>
      <c r="B4">
        <v>354.28</v>
      </c>
      <c r="C4">
        <v>334.71</v>
      </c>
      <c r="D4">
        <v>353.09</v>
      </c>
      <c r="E4">
        <v>345.83</v>
      </c>
      <c r="F4">
        <v>2.0894085671413598E-2</v>
      </c>
      <c r="G4">
        <v>2.0894085671413598E-2</v>
      </c>
    </row>
    <row r="5" spans="1:7" x14ac:dyDescent="0.3">
      <c r="A5">
        <v>44107</v>
      </c>
      <c r="B5">
        <v>349.91</v>
      </c>
      <c r="C5">
        <v>344.31</v>
      </c>
      <c r="D5">
        <v>345.96</v>
      </c>
      <c r="E5">
        <v>346.32</v>
      </c>
      <c r="F5">
        <v>-1.4168811265651282E-3</v>
      </c>
      <c r="G5">
        <v>-1.4168811265651282E-3</v>
      </c>
    </row>
    <row r="6" spans="1:7" x14ac:dyDescent="0.3">
      <c r="A6">
        <v>44108</v>
      </c>
      <c r="B6">
        <v>353.57</v>
      </c>
      <c r="C6">
        <v>348.34</v>
      </c>
      <c r="D6">
        <v>346.32</v>
      </c>
      <c r="E6">
        <v>352.61</v>
      </c>
      <c r="F6">
        <v>-1.816239316239332E-2</v>
      </c>
      <c r="G6">
        <v>-1.816239316239332E-2</v>
      </c>
    </row>
    <row r="7" spans="1:7" x14ac:dyDescent="0.3">
      <c r="A7">
        <v>44109</v>
      </c>
      <c r="B7">
        <v>357.64</v>
      </c>
      <c r="C7">
        <v>353.32</v>
      </c>
      <c r="D7">
        <v>352.61</v>
      </c>
      <c r="E7">
        <v>353.76</v>
      </c>
      <c r="F7">
        <v>-3.2613936076684169E-3</v>
      </c>
      <c r="G7">
        <v>-3.2613936076684169E-3</v>
      </c>
    </row>
    <row r="8" spans="1:7" x14ac:dyDescent="0.3">
      <c r="A8">
        <v>44110</v>
      </c>
      <c r="B8">
        <v>355.32</v>
      </c>
      <c r="C8">
        <v>336.93</v>
      </c>
      <c r="D8">
        <v>353.84</v>
      </c>
      <c r="E8">
        <v>340.85</v>
      </c>
      <c r="F8">
        <v>3.6493668023518722E-2</v>
      </c>
      <c r="G8">
        <v>3.6493668023518722E-2</v>
      </c>
    </row>
    <row r="9" spans="1:7" x14ac:dyDescent="0.3">
      <c r="A9">
        <v>44111</v>
      </c>
      <c r="B9">
        <v>342.87</v>
      </c>
      <c r="C9">
        <v>333.27</v>
      </c>
      <c r="D9">
        <v>340.85</v>
      </c>
      <c r="E9">
        <v>341.91</v>
      </c>
      <c r="F9">
        <v>-3.1098723778788528E-3</v>
      </c>
      <c r="G9">
        <v>-3.1098723778788528E-3</v>
      </c>
    </row>
    <row r="10" spans="1:7" x14ac:dyDescent="0.3">
      <c r="A10">
        <v>44112</v>
      </c>
      <c r="B10">
        <v>353.4</v>
      </c>
      <c r="C10">
        <v>334.35</v>
      </c>
      <c r="D10">
        <v>341.91</v>
      </c>
      <c r="E10">
        <v>351.2</v>
      </c>
      <c r="F10">
        <v>-2.7170892925038714E-2</v>
      </c>
      <c r="G10">
        <v>-2.7170892925038714E-2</v>
      </c>
    </row>
    <row r="11" spans="1:7" x14ac:dyDescent="0.3">
      <c r="A11">
        <v>44113</v>
      </c>
      <c r="B11">
        <v>368.51</v>
      </c>
      <c r="C11">
        <v>347.19</v>
      </c>
      <c r="D11">
        <v>351.2</v>
      </c>
      <c r="E11">
        <v>365.41</v>
      </c>
      <c r="F11">
        <v>-4.0461275626423765E-2</v>
      </c>
      <c r="G11">
        <v>-4.0461275626423765E-2</v>
      </c>
    </row>
    <row r="12" spans="1:7" x14ac:dyDescent="0.3">
      <c r="A12">
        <v>44114</v>
      </c>
      <c r="B12">
        <v>378.52</v>
      </c>
      <c r="C12">
        <v>365.2</v>
      </c>
      <c r="D12">
        <v>365.41</v>
      </c>
      <c r="E12">
        <v>370.88</v>
      </c>
      <c r="F12">
        <v>-1.4969486330423276E-2</v>
      </c>
      <c r="G12">
        <v>-1.4969486330423276E-2</v>
      </c>
    </row>
    <row r="13" spans="1:7" x14ac:dyDescent="0.3">
      <c r="A13">
        <v>44115</v>
      </c>
      <c r="B13">
        <v>376.42</v>
      </c>
      <c r="C13">
        <v>371.75</v>
      </c>
      <c r="D13">
        <v>370.8</v>
      </c>
      <c r="E13">
        <v>374.37</v>
      </c>
      <c r="F13">
        <v>-9.4100517687663032E-3</v>
      </c>
      <c r="G13">
        <v>-9.4100517687663032E-3</v>
      </c>
    </row>
    <row r="14" spans="1:7" x14ac:dyDescent="0.3">
      <c r="A14">
        <v>44116</v>
      </c>
      <c r="B14">
        <v>395.22</v>
      </c>
      <c r="C14">
        <v>365.82</v>
      </c>
      <c r="D14">
        <v>374.4</v>
      </c>
      <c r="E14">
        <v>386.91</v>
      </c>
      <c r="F14">
        <v>-3.3496273739882954E-2</v>
      </c>
      <c r="G14">
        <v>-3.3496273739882954E-2</v>
      </c>
    </row>
    <row r="15" spans="1:7" x14ac:dyDescent="0.3">
      <c r="A15">
        <v>44117</v>
      </c>
      <c r="B15">
        <v>387.82</v>
      </c>
      <c r="C15">
        <v>374.78</v>
      </c>
      <c r="D15">
        <v>386.91</v>
      </c>
      <c r="E15">
        <v>381.41</v>
      </c>
      <c r="F15">
        <v>1.421519216355227E-2</v>
      </c>
      <c r="G15">
        <v>1.421519216355227E-2</v>
      </c>
    </row>
    <row r="16" spans="1:7" x14ac:dyDescent="0.3">
      <c r="A16">
        <v>44118</v>
      </c>
      <c r="B16">
        <v>384.25</v>
      </c>
      <c r="C16">
        <v>377.28</v>
      </c>
      <c r="D16">
        <v>381.21</v>
      </c>
      <c r="E16">
        <v>379.11</v>
      </c>
      <c r="F16">
        <v>6.0302561547941336E-3</v>
      </c>
      <c r="G16">
        <v>6.0302561547941336E-3</v>
      </c>
    </row>
    <row r="17" spans="1:7" x14ac:dyDescent="0.3">
      <c r="A17">
        <v>44119</v>
      </c>
      <c r="B17">
        <v>383.69</v>
      </c>
      <c r="C17">
        <v>377.36</v>
      </c>
      <c r="D17">
        <v>379.11</v>
      </c>
      <c r="E17">
        <v>377.7</v>
      </c>
      <c r="F17">
        <v>3.7192371607185359E-3</v>
      </c>
      <c r="G17">
        <v>3.7192371607185359E-3</v>
      </c>
    </row>
    <row r="18" spans="1:7" x14ac:dyDescent="0.3">
      <c r="A18">
        <v>44120</v>
      </c>
      <c r="B18">
        <v>379.9</v>
      </c>
      <c r="C18">
        <v>361.57</v>
      </c>
      <c r="D18">
        <v>377.82</v>
      </c>
      <c r="E18">
        <v>365.58</v>
      </c>
      <c r="F18">
        <v>3.2088959491660018E-2</v>
      </c>
      <c r="G18">
        <v>3.2088959491660018E-2</v>
      </c>
    </row>
    <row r="19" spans="1:7" x14ac:dyDescent="0.3">
      <c r="A19">
        <v>44121</v>
      </c>
      <c r="B19">
        <v>369.11</v>
      </c>
      <c r="C19">
        <v>366.27</v>
      </c>
      <c r="D19">
        <v>365.72</v>
      </c>
      <c r="E19">
        <v>368.65</v>
      </c>
      <c r="F19">
        <v>-8.3976147491657827E-3</v>
      </c>
      <c r="G19">
        <v>-8.3976147491657827E-3</v>
      </c>
    </row>
    <row r="20" spans="1:7" x14ac:dyDescent="0.3">
      <c r="A20">
        <v>44122</v>
      </c>
      <c r="B20">
        <v>379.59</v>
      </c>
      <c r="C20">
        <v>372.8</v>
      </c>
      <c r="D20">
        <v>368.65</v>
      </c>
      <c r="E20">
        <v>378.44</v>
      </c>
      <c r="F20">
        <v>-2.6556354265563575E-2</v>
      </c>
      <c r="G20">
        <v>-2.6556354265563575E-2</v>
      </c>
    </row>
    <row r="21" spans="1:7" x14ac:dyDescent="0.3">
      <c r="A21">
        <v>44123</v>
      </c>
      <c r="B21">
        <v>384.42</v>
      </c>
      <c r="C21">
        <v>373.04</v>
      </c>
      <c r="D21">
        <v>378.44</v>
      </c>
      <c r="E21">
        <v>379.41</v>
      </c>
      <c r="F21">
        <v>-2.5631540006343378E-3</v>
      </c>
      <c r="G21">
        <v>-2.5631540006343378E-3</v>
      </c>
    </row>
    <row r="22" spans="1:7" x14ac:dyDescent="0.3">
      <c r="A22">
        <v>44124</v>
      </c>
      <c r="B22">
        <v>386.03</v>
      </c>
      <c r="C22">
        <v>367.91</v>
      </c>
      <c r="D22">
        <v>379.39</v>
      </c>
      <c r="E22">
        <v>368.74</v>
      </c>
      <c r="F22">
        <v>2.8122611422998878E-2</v>
      </c>
      <c r="G22">
        <v>2.8122611422998878E-2</v>
      </c>
    </row>
    <row r="23" spans="1:7" x14ac:dyDescent="0.3">
      <c r="A23">
        <v>44125</v>
      </c>
      <c r="B23">
        <v>401.78</v>
      </c>
      <c r="C23">
        <v>368.19</v>
      </c>
      <c r="D23">
        <v>368.83</v>
      </c>
      <c r="E23">
        <v>391.46</v>
      </c>
      <c r="F23">
        <v>-6.1615230243531993E-2</v>
      </c>
      <c r="G23">
        <v>-6.1615230243531993E-2</v>
      </c>
    </row>
    <row r="24" spans="1:7" x14ac:dyDescent="0.3">
      <c r="A24">
        <v>44126</v>
      </c>
      <c r="B24">
        <v>421.25</v>
      </c>
      <c r="C24">
        <v>391.34</v>
      </c>
      <c r="D24">
        <v>391.46</v>
      </c>
      <c r="E24">
        <v>414.5</v>
      </c>
      <c r="F24">
        <v>-5.8856588157155221E-2</v>
      </c>
      <c r="G24">
        <v>-5.8856588157155221E-2</v>
      </c>
    </row>
    <row r="25" spans="1:7" x14ac:dyDescent="0.3">
      <c r="A25">
        <v>44127</v>
      </c>
      <c r="B25">
        <v>419.47</v>
      </c>
      <c r="C25">
        <v>401.93</v>
      </c>
      <c r="D25">
        <v>414.5</v>
      </c>
      <c r="E25">
        <v>409.57</v>
      </c>
      <c r="F25">
        <v>1.189384800965021E-2</v>
      </c>
      <c r="G25">
        <v>1.189384800965021E-2</v>
      </c>
    </row>
    <row r="26" spans="1:7" x14ac:dyDescent="0.3">
      <c r="A26">
        <v>44128</v>
      </c>
      <c r="B26">
        <v>418.85</v>
      </c>
      <c r="C26">
        <v>410.45</v>
      </c>
      <c r="D26">
        <v>409.59</v>
      </c>
      <c r="E26">
        <v>412.55</v>
      </c>
      <c r="F26">
        <v>-7.275923529555417E-3</v>
      </c>
      <c r="G26">
        <v>-7.275923529555417E-3</v>
      </c>
    </row>
    <row r="27" spans="1:7" x14ac:dyDescent="0.3">
      <c r="A27">
        <v>44129</v>
      </c>
      <c r="B27">
        <v>411.97</v>
      </c>
      <c r="C27">
        <v>406.1</v>
      </c>
      <c r="D27">
        <v>412.55</v>
      </c>
      <c r="E27">
        <v>406.36</v>
      </c>
      <c r="F27">
        <v>1.5004241910071547E-2</v>
      </c>
      <c r="G27">
        <v>1.5004241910071547E-2</v>
      </c>
    </row>
    <row r="28" spans="1:7" x14ac:dyDescent="0.3">
      <c r="A28">
        <v>44130</v>
      </c>
      <c r="B28">
        <v>411.39</v>
      </c>
      <c r="C28">
        <v>382.64</v>
      </c>
      <c r="D28">
        <v>406.3</v>
      </c>
      <c r="E28">
        <v>393.11</v>
      </c>
      <c r="F28">
        <v>3.2606555763362577E-2</v>
      </c>
      <c r="G28">
        <v>3.2606555763362577E-2</v>
      </c>
    </row>
    <row r="29" spans="1:7" x14ac:dyDescent="0.3">
      <c r="A29">
        <v>44131</v>
      </c>
      <c r="B29">
        <v>410.25</v>
      </c>
      <c r="C29">
        <v>390.4</v>
      </c>
      <c r="D29">
        <v>393.11</v>
      </c>
      <c r="E29">
        <v>403.74</v>
      </c>
      <c r="F29">
        <v>-2.7040777390552329E-2</v>
      </c>
      <c r="G29">
        <v>-2.7040777390552329E-2</v>
      </c>
    </row>
    <row r="30" spans="1:7" x14ac:dyDescent="0.3">
      <c r="A30">
        <v>44132</v>
      </c>
      <c r="B30">
        <v>409.35</v>
      </c>
      <c r="C30">
        <v>381.06</v>
      </c>
      <c r="D30">
        <v>403.74</v>
      </c>
      <c r="E30">
        <v>388.77</v>
      </c>
      <c r="F30">
        <v>3.7078317729231758E-2</v>
      </c>
      <c r="G30">
        <v>3.7078317729231758E-2</v>
      </c>
    </row>
    <row r="31" spans="1:7" x14ac:dyDescent="0.3">
      <c r="A31">
        <v>44133</v>
      </c>
      <c r="B31">
        <v>393.98</v>
      </c>
      <c r="C31">
        <v>380.87</v>
      </c>
      <c r="D31">
        <v>388.77</v>
      </c>
      <c r="E31">
        <v>387.54</v>
      </c>
      <c r="F31">
        <v>3.163824369164181E-3</v>
      </c>
      <c r="G31">
        <v>3.163824369164181E-3</v>
      </c>
    </row>
    <row r="32" spans="1:7" x14ac:dyDescent="0.3">
      <c r="A32">
        <v>44134</v>
      </c>
      <c r="B32">
        <v>392.05</v>
      </c>
      <c r="C32">
        <v>374.08</v>
      </c>
      <c r="D32">
        <v>387.54</v>
      </c>
      <c r="E32">
        <v>382.76</v>
      </c>
      <c r="F32">
        <v>1.2334210662125256E-2</v>
      </c>
      <c r="G32">
        <v>1.2334210662125256E-2</v>
      </c>
    </row>
    <row r="33" spans="1:7" x14ac:dyDescent="0.3">
      <c r="A33">
        <v>44135</v>
      </c>
      <c r="B33">
        <v>392.57</v>
      </c>
      <c r="C33">
        <v>385.67</v>
      </c>
      <c r="D33">
        <v>382.83</v>
      </c>
      <c r="E33">
        <v>386.77</v>
      </c>
      <c r="F33">
        <v>-1.0476538823283477E-2</v>
      </c>
      <c r="G33">
        <v>-1.0476538823283477E-2</v>
      </c>
    </row>
    <row r="34" spans="1:7" x14ac:dyDescent="0.3">
      <c r="A34">
        <v>44136</v>
      </c>
      <c r="B34">
        <v>397.71</v>
      </c>
      <c r="C34">
        <v>385.6</v>
      </c>
      <c r="D34">
        <v>386.77</v>
      </c>
      <c r="E34">
        <v>396.75</v>
      </c>
      <c r="F34">
        <v>-2.5803449078263707E-2</v>
      </c>
      <c r="G34">
        <v>-2.5803449078263707E-2</v>
      </c>
    </row>
    <row r="35" spans="1:7" x14ac:dyDescent="0.3">
      <c r="A35">
        <v>44137</v>
      </c>
      <c r="B35">
        <v>404.39</v>
      </c>
      <c r="C35">
        <v>378.67</v>
      </c>
      <c r="D35">
        <v>396.49</v>
      </c>
      <c r="E35">
        <v>383.61</v>
      </c>
      <c r="F35">
        <v>3.3119092627599156E-2</v>
      </c>
      <c r="G35">
        <v>3.3119092627599156E-2</v>
      </c>
    </row>
    <row r="36" spans="1:7" x14ac:dyDescent="0.3">
      <c r="A36">
        <v>44138</v>
      </c>
      <c r="B36">
        <v>398.14</v>
      </c>
      <c r="C36">
        <v>388.18</v>
      </c>
      <c r="D36">
        <v>383.66</v>
      </c>
      <c r="E36">
        <v>388.18</v>
      </c>
      <c r="F36">
        <v>-1.191314095044449E-2</v>
      </c>
      <c r="G36">
        <v>-1.191314095044449E-2</v>
      </c>
    </row>
    <row r="37" spans="1:7" x14ac:dyDescent="0.3">
      <c r="A37">
        <v>44139</v>
      </c>
      <c r="B37">
        <v>408.58</v>
      </c>
      <c r="C37">
        <v>377.14</v>
      </c>
      <c r="D37">
        <v>388.17</v>
      </c>
      <c r="E37">
        <v>402.66</v>
      </c>
      <c r="F37">
        <v>-3.730228244628786E-2</v>
      </c>
      <c r="G37">
        <v>-3.730228244628786E-2</v>
      </c>
    </row>
    <row r="38" spans="1:7" x14ac:dyDescent="0.3">
      <c r="A38">
        <v>44140</v>
      </c>
      <c r="B38">
        <v>420.74</v>
      </c>
      <c r="C38">
        <v>397.1</v>
      </c>
      <c r="D38">
        <v>402.66</v>
      </c>
      <c r="E38">
        <v>416.89</v>
      </c>
      <c r="F38">
        <v>-3.5339989072666667E-2</v>
      </c>
      <c r="G38">
        <v>-3.5339989072666667E-2</v>
      </c>
    </row>
    <row r="39" spans="1:7" x14ac:dyDescent="0.3">
      <c r="A39">
        <v>44141</v>
      </c>
      <c r="B39">
        <v>458.22</v>
      </c>
      <c r="C39">
        <v>415.41</v>
      </c>
      <c r="D39">
        <v>416.89</v>
      </c>
      <c r="E39">
        <v>456.32</v>
      </c>
      <c r="F39">
        <v>-9.4581304420830348E-2</v>
      </c>
      <c r="G39">
        <v>-9.4581304420830348E-2</v>
      </c>
    </row>
    <row r="40" spans="1:7" x14ac:dyDescent="0.3">
      <c r="A40">
        <v>44142</v>
      </c>
      <c r="B40">
        <v>468.04</v>
      </c>
      <c r="C40">
        <v>426.27</v>
      </c>
      <c r="D40">
        <v>456.32</v>
      </c>
      <c r="E40">
        <v>435.82</v>
      </c>
      <c r="F40">
        <v>4.4924614305750343E-2</v>
      </c>
      <c r="G40">
        <v>4.4924614305750343E-2</v>
      </c>
    </row>
    <row r="41" spans="1:7" x14ac:dyDescent="0.3">
      <c r="A41">
        <v>44143</v>
      </c>
      <c r="B41">
        <v>460.03</v>
      </c>
      <c r="C41">
        <v>432.87</v>
      </c>
      <c r="D41">
        <v>435.82</v>
      </c>
      <c r="E41">
        <v>454.74</v>
      </c>
      <c r="F41">
        <v>-4.3412417970721817E-2</v>
      </c>
      <c r="G41">
        <v>-4.3412417970721817E-2</v>
      </c>
    </row>
    <row r="42" spans="1:7" x14ac:dyDescent="0.3">
      <c r="A42">
        <v>44144</v>
      </c>
      <c r="B42">
        <v>458.75</v>
      </c>
      <c r="C42">
        <v>434.54</v>
      </c>
      <c r="D42">
        <v>454.74</v>
      </c>
      <c r="E42">
        <v>444.45</v>
      </c>
      <c r="F42">
        <v>2.2628315081145267E-2</v>
      </c>
      <c r="G42">
        <v>2.2628315081145267E-2</v>
      </c>
    </row>
    <row r="43" spans="1:7" x14ac:dyDescent="0.3">
      <c r="A43">
        <v>44145</v>
      </c>
      <c r="B43">
        <v>455.07</v>
      </c>
      <c r="C43">
        <v>439.44</v>
      </c>
      <c r="D43">
        <v>444.45</v>
      </c>
      <c r="E43">
        <v>450.86</v>
      </c>
      <c r="F43">
        <v>-1.4422319721003607E-2</v>
      </c>
      <c r="G43">
        <v>-1.4422319721003607E-2</v>
      </c>
    </row>
    <row r="44" spans="1:7" x14ac:dyDescent="0.3">
      <c r="A44">
        <v>44146</v>
      </c>
      <c r="B44">
        <v>476.65</v>
      </c>
      <c r="C44">
        <v>449.95</v>
      </c>
      <c r="D44">
        <v>450.86</v>
      </c>
      <c r="E44">
        <v>463.91</v>
      </c>
      <c r="F44">
        <v>-2.8944683493767442E-2</v>
      </c>
      <c r="G44">
        <v>-2.8944683493767442E-2</v>
      </c>
    </row>
    <row r="45" spans="1:7" x14ac:dyDescent="0.3">
      <c r="A45">
        <v>44147</v>
      </c>
      <c r="B45">
        <v>470.4</v>
      </c>
      <c r="C45">
        <v>452.69</v>
      </c>
      <c r="D45">
        <v>463.91</v>
      </c>
      <c r="E45">
        <v>462.78</v>
      </c>
      <c r="F45">
        <v>2.4358172921472576E-3</v>
      </c>
      <c r="G45">
        <v>2.4358172921472576E-3</v>
      </c>
    </row>
    <row r="46" spans="1:7" x14ac:dyDescent="0.3">
      <c r="A46">
        <v>44148</v>
      </c>
      <c r="B46">
        <v>477.97</v>
      </c>
      <c r="C46">
        <v>458.1</v>
      </c>
      <c r="D46">
        <v>462.78</v>
      </c>
      <c r="E46">
        <v>476.87</v>
      </c>
      <c r="F46">
        <v>-3.0446432430096371E-2</v>
      </c>
      <c r="G46">
        <v>-3.0446432430096371E-2</v>
      </c>
    </row>
    <row r="47" spans="1:7" x14ac:dyDescent="0.3">
      <c r="A47">
        <v>44149</v>
      </c>
      <c r="B47">
        <v>477.76</v>
      </c>
      <c r="C47">
        <v>452.26</v>
      </c>
      <c r="D47">
        <v>476.87</v>
      </c>
      <c r="E47">
        <v>461.03</v>
      </c>
      <c r="F47">
        <v>3.3216599911925715E-2</v>
      </c>
      <c r="G47">
        <v>3.3216599911925715E-2</v>
      </c>
    </row>
    <row r="48" spans="1:7" x14ac:dyDescent="0.3">
      <c r="A48">
        <v>44150</v>
      </c>
      <c r="B48">
        <v>463.02</v>
      </c>
      <c r="C48">
        <v>440.46</v>
      </c>
      <c r="D48">
        <v>461.03</v>
      </c>
      <c r="E48">
        <v>448.51</v>
      </c>
      <c r="F48">
        <v>2.7156584170227482E-2</v>
      </c>
      <c r="G48">
        <v>2.7156584170227482E-2</v>
      </c>
    </row>
    <row r="49" spans="1:7" x14ac:dyDescent="0.3">
      <c r="A49">
        <v>44151</v>
      </c>
      <c r="B49">
        <v>471.55</v>
      </c>
      <c r="C49">
        <v>458.84</v>
      </c>
      <c r="D49">
        <v>448.45</v>
      </c>
      <c r="E49">
        <v>461.01</v>
      </c>
      <c r="F49">
        <v>-2.7870058638603368E-2</v>
      </c>
      <c r="G49">
        <v>-2.7870058638603368E-2</v>
      </c>
    </row>
    <row r="50" spans="1:7" x14ac:dyDescent="0.3">
      <c r="A50">
        <v>44152</v>
      </c>
      <c r="B50">
        <v>495.61</v>
      </c>
      <c r="C50">
        <v>475.46</v>
      </c>
      <c r="D50">
        <v>461.01</v>
      </c>
      <c r="E50">
        <v>482.71</v>
      </c>
      <c r="F50">
        <v>-4.7070562460684195E-2</v>
      </c>
      <c r="G50">
        <v>-4.7070562460684195E-2</v>
      </c>
    </row>
    <row r="51" spans="1:7" x14ac:dyDescent="0.3">
      <c r="A51">
        <v>44153</v>
      </c>
      <c r="B51">
        <v>495.03</v>
      </c>
      <c r="C51">
        <v>458.58</v>
      </c>
      <c r="D51">
        <v>482.73</v>
      </c>
      <c r="E51">
        <v>478.76</v>
      </c>
      <c r="F51">
        <v>8.1829669988191522E-3</v>
      </c>
      <c r="G51">
        <v>8.1829669988191522E-3</v>
      </c>
    </row>
    <row r="52" spans="1:7" x14ac:dyDescent="0.3">
      <c r="A52">
        <v>44154</v>
      </c>
      <c r="B52">
        <v>482.16</v>
      </c>
      <c r="C52">
        <v>468.97</v>
      </c>
      <c r="D52">
        <v>478.81</v>
      </c>
      <c r="E52">
        <v>471.82</v>
      </c>
      <c r="F52">
        <v>1.4495780766981325E-2</v>
      </c>
      <c r="G52">
        <v>1.4495780766981325E-2</v>
      </c>
    </row>
    <row r="53" spans="1:7" x14ac:dyDescent="0.3">
      <c r="A53">
        <v>44155</v>
      </c>
      <c r="B53">
        <v>514.38</v>
      </c>
      <c r="C53">
        <v>471.19</v>
      </c>
      <c r="D53">
        <v>471.89</v>
      </c>
      <c r="E53">
        <v>510.43</v>
      </c>
      <c r="F53">
        <v>-8.1832054597092085E-2</v>
      </c>
      <c r="G53">
        <v>-8.1832054597092085E-2</v>
      </c>
    </row>
    <row r="54" spans="1:7" x14ac:dyDescent="0.3">
      <c r="A54">
        <v>44156</v>
      </c>
      <c r="B54">
        <v>553.11</v>
      </c>
      <c r="C54">
        <v>503.09</v>
      </c>
      <c r="D54">
        <v>510.43</v>
      </c>
      <c r="E54">
        <v>552.26</v>
      </c>
      <c r="F54">
        <v>-8.195051231314765E-2</v>
      </c>
      <c r="G54">
        <v>-8.195051231314765E-2</v>
      </c>
    </row>
    <row r="55" spans="1:7" x14ac:dyDescent="0.3">
      <c r="A55">
        <v>44157</v>
      </c>
      <c r="B55">
        <v>581.04999999999995</v>
      </c>
      <c r="C55">
        <v>513.33000000000004</v>
      </c>
      <c r="D55">
        <v>552.26</v>
      </c>
      <c r="E55">
        <v>560.01</v>
      </c>
      <c r="F55">
        <v>-1.4033245210589129E-2</v>
      </c>
      <c r="G55">
        <v>-1.4033245210589129E-2</v>
      </c>
    </row>
    <row r="56" spans="1:7" x14ac:dyDescent="0.3">
      <c r="A56">
        <v>44158</v>
      </c>
      <c r="B56">
        <v>610.75</v>
      </c>
      <c r="C56">
        <v>550.30999999999995</v>
      </c>
      <c r="D56">
        <v>560.01</v>
      </c>
      <c r="E56">
        <v>609.13</v>
      </c>
      <c r="F56">
        <v>-8.7712719415724782E-2</v>
      </c>
      <c r="G56">
        <v>-8.7712719415724782E-2</v>
      </c>
    </row>
    <row r="57" spans="1:7" x14ac:dyDescent="0.3">
      <c r="A57">
        <v>44159</v>
      </c>
      <c r="B57">
        <v>645.6</v>
      </c>
      <c r="C57">
        <v>590.23</v>
      </c>
      <c r="D57">
        <v>609.12</v>
      </c>
      <c r="E57">
        <v>604.98</v>
      </c>
      <c r="F57">
        <v>6.8129955838654999E-3</v>
      </c>
      <c r="G57">
        <v>6.8129955838654999E-3</v>
      </c>
    </row>
    <row r="58" spans="1:7" x14ac:dyDescent="0.3">
      <c r="A58">
        <v>44160</v>
      </c>
      <c r="B58">
        <v>606.1</v>
      </c>
      <c r="C58">
        <v>554.91999999999996</v>
      </c>
      <c r="D58">
        <v>605.04999999999995</v>
      </c>
      <c r="E58">
        <v>569.4</v>
      </c>
      <c r="F58">
        <v>5.8811861549142197E-2</v>
      </c>
      <c r="G58">
        <v>5.8811861549142197E-2</v>
      </c>
    </row>
    <row r="59" spans="1:7" x14ac:dyDescent="0.3">
      <c r="A59">
        <v>44161</v>
      </c>
      <c r="B59">
        <v>576.94000000000005</v>
      </c>
      <c r="C59">
        <v>482.39</v>
      </c>
      <c r="D59">
        <v>569.4</v>
      </c>
      <c r="E59">
        <v>520.22</v>
      </c>
      <c r="F59">
        <v>8.6371619248331477E-2</v>
      </c>
      <c r="G59">
        <v>8.6371619248331477E-2</v>
      </c>
    </row>
    <row r="60" spans="1:7" x14ac:dyDescent="0.3">
      <c r="A60">
        <v>44162</v>
      </c>
      <c r="B60">
        <v>531.01</v>
      </c>
      <c r="C60">
        <v>494.78</v>
      </c>
      <c r="D60">
        <v>520.22</v>
      </c>
      <c r="E60">
        <v>518.83000000000004</v>
      </c>
      <c r="F60">
        <v>2.671946484179788E-3</v>
      </c>
      <c r="G60">
        <v>2.671946484179788E-3</v>
      </c>
    </row>
    <row r="61" spans="1:7" x14ac:dyDescent="0.3">
      <c r="A61">
        <v>44163</v>
      </c>
      <c r="B61">
        <v>548.25</v>
      </c>
      <c r="C61">
        <v>507.33</v>
      </c>
      <c r="D61">
        <v>518.83000000000004</v>
      </c>
      <c r="E61">
        <v>537.99</v>
      </c>
      <c r="F61">
        <v>-3.6929244646608739E-2</v>
      </c>
      <c r="G61">
        <v>-3.6929244646608739E-2</v>
      </c>
    </row>
    <row r="62" spans="1:7" x14ac:dyDescent="0.3">
      <c r="A62">
        <v>44164</v>
      </c>
      <c r="B62">
        <v>565.48</v>
      </c>
      <c r="C62">
        <v>531.08000000000004</v>
      </c>
      <c r="D62">
        <v>537.99</v>
      </c>
      <c r="E62">
        <v>565.08000000000004</v>
      </c>
      <c r="F62">
        <v>-5.0354095801037335E-2</v>
      </c>
      <c r="G62">
        <v>-5.0354095801037335E-2</v>
      </c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80D00-7B28-481B-83B2-33D754C4EA32}">
  <sheetPr codeName="Sheet20">
    <tabColor rgb="FFC6E0B4"/>
  </sheetPr>
  <dimension ref="A1:G99"/>
  <sheetViews>
    <sheetView workbookViewId="0">
      <selection activeCell="F5" sqref="F5"/>
    </sheetView>
  </sheetViews>
  <sheetFormatPr defaultRowHeight="14.4" x14ac:dyDescent="0.3"/>
  <cols>
    <col min="1" max="1" width="8.88671875" style="3"/>
    <col min="2" max="5" width="8.88671875" style="4"/>
    <col min="6" max="6" width="8.88671875" style="5"/>
    <col min="7" max="7" width="8.886718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44104</v>
      </c>
      <c r="B2">
        <v>0</v>
      </c>
      <c r="C2">
        <v>0</v>
      </c>
      <c r="D2">
        <v>0</v>
      </c>
      <c r="E2">
        <v>0</v>
      </c>
      <c r="F2"/>
      <c r="G2"/>
    </row>
    <row r="3" spans="1:7" x14ac:dyDescent="0.3">
      <c r="A3">
        <v>44105</v>
      </c>
      <c r="B3">
        <v>0</v>
      </c>
      <c r="C3">
        <v>0</v>
      </c>
      <c r="D3">
        <v>0</v>
      </c>
      <c r="E3">
        <v>0</v>
      </c>
      <c r="F3">
        <v>0</v>
      </c>
      <c r="G3">
        <v>1.8370296259240804E-2</v>
      </c>
    </row>
    <row r="4" spans="1:7" x14ac:dyDescent="0.3">
      <c r="A4">
        <v>44106</v>
      </c>
      <c r="B4">
        <v>0</v>
      </c>
      <c r="C4">
        <v>0</v>
      </c>
      <c r="D4">
        <v>0</v>
      </c>
      <c r="E4">
        <v>0</v>
      </c>
      <c r="F4">
        <v>0</v>
      </c>
      <c r="G4">
        <v>2.0894085671413598E-2</v>
      </c>
    </row>
    <row r="5" spans="1:7" x14ac:dyDescent="0.3">
      <c r="A5">
        <v>44107</v>
      </c>
      <c r="B5">
        <v>0</v>
      </c>
      <c r="C5">
        <v>0</v>
      </c>
      <c r="D5">
        <v>0</v>
      </c>
      <c r="E5">
        <v>0</v>
      </c>
      <c r="F5">
        <v>0</v>
      </c>
      <c r="G5">
        <v>-1.4168811265651282E-3</v>
      </c>
    </row>
    <row r="6" spans="1:7" x14ac:dyDescent="0.3">
      <c r="A6">
        <v>44108</v>
      </c>
      <c r="B6">
        <v>0</v>
      </c>
      <c r="C6">
        <v>0</v>
      </c>
      <c r="D6">
        <v>0</v>
      </c>
      <c r="E6">
        <v>0</v>
      </c>
      <c r="F6">
        <v>0</v>
      </c>
      <c r="G6">
        <v>-1.816239316239332E-2</v>
      </c>
    </row>
    <row r="7" spans="1:7" x14ac:dyDescent="0.3">
      <c r="A7">
        <v>44109</v>
      </c>
      <c r="B7">
        <v>0</v>
      </c>
      <c r="C7">
        <v>0</v>
      </c>
      <c r="D7">
        <v>0</v>
      </c>
      <c r="E7">
        <v>0</v>
      </c>
      <c r="F7">
        <v>0</v>
      </c>
      <c r="G7">
        <v>-3.2613936076684169E-3</v>
      </c>
    </row>
    <row r="8" spans="1:7" x14ac:dyDescent="0.3">
      <c r="A8">
        <v>44110</v>
      </c>
      <c r="B8">
        <v>0</v>
      </c>
      <c r="C8">
        <v>0</v>
      </c>
      <c r="D8">
        <v>0</v>
      </c>
      <c r="E8">
        <v>0</v>
      </c>
      <c r="F8">
        <v>0</v>
      </c>
      <c r="G8">
        <v>3.6493668023518722E-2</v>
      </c>
    </row>
    <row r="9" spans="1:7" x14ac:dyDescent="0.3">
      <c r="A9">
        <v>44111</v>
      </c>
      <c r="B9">
        <v>0</v>
      </c>
      <c r="C9">
        <v>0</v>
      </c>
      <c r="D9">
        <v>0</v>
      </c>
      <c r="E9">
        <v>0</v>
      </c>
      <c r="F9">
        <v>0</v>
      </c>
      <c r="G9">
        <v>-3.1098723778788528E-3</v>
      </c>
    </row>
    <row r="10" spans="1:7" x14ac:dyDescent="0.3">
      <c r="A10">
        <v>44112</v>
      </c>
      <c r="B10">
        <v>0</v>
      </c>
      <c r="C10">
        <v>0</v>
      </c>
      <c r="D10">
        <v>0</v>
      </c>
      <c r="E10">
        <v>0</v>
      </c>
      <c r="F10">
        <v>0</v>
      </c>
      <c r="G10">
        <v>-2.7170892925038714E-2</v>
      </c>
    </row>
    <row r="11" spans="1:7" x14ac:dyDescent="0.3">
      <c r="A11">
        <v>44113</v>
      </c>
      <c r="B11">
        <v>0</v>
      </c>
      <c r="C11">
        <v>0</v>
      </c>
      <c r="D11">
        <v>0</v>
      </c>
      <c r="E11">
        <v>0</v>
      </c>
      <c r="F11">
        <v>0</v>
      </c>
      <c r="G11">
        <v>-4.0461275626423765E-2</v>
      </c>
    </row>
    <row r="12" spans="1:7" x14ac:dyDescent="0.3">
      <c r="A12">
        <v>44114</v>
      </c>
      <c r="B12">
        <v>51.08</v>
      </c>
      <c r="C12">
        <v>51.08</v>
      </c>
      <c r="D12">
        <v>51.08</v>
      </c>
      <c r="E12">
        <v>51.08</v>
      </c>
      <c r="F12">
        <v>0</v>
      </c>
      <c r="G12">
        <v>-1.4969486330423276E-2</v>
      </c>
    </row>
    <row r="13" spans="1:7" x14ac:dyDescent="0.3">
      <c r="A13">
        <v>44115</v>
      </c>
      <c r="B13">
        <v>51.08</v>
      </c>
      <c r="C13">
        <v>51.08</v>
      </c>
      <c r="D13">
        <v>51.08</v>
      </c>
      <c r="E13">
        <v>51.08</v>
      </c>
      <c r="F13">
        <v>0</v>
      </c>
      <c r="G13">
        <v>-9.4100517687663032E-3</v>
      </c>
    </row>
    <row r="14" spans="1:7" x14ac:dyDescent="0.3">
      <c r="A14">
        <v>44116</v>
      </c>
      <c r="B14">
        <v>52.4</v>
      </c>
      <c r="C14">
        <v>48.34</v>
      </c>
      <c r="D14">
        <v>51.08</v>
      </c>
      <c r="E14">
        <v>51.42</v>
      </c>
      <c r="F14">
        <v>-6.6562255285826932E-3</v>
      </c>
      <c r="G14">
        <v>-3.3496273739882954E-2</v>
      </c>
    </row>
    <row r="15" spans="1:7" x14ac:dyDescent="0.3">
      <c r="A15">
        <v>44117</v>
      </c>
      <c r="B15">
        <v>53.04</v>
      </c>
      <c r="C15">
        <v>49.76</v>
      </c>
      <c r="D15">
        <v>51.42</v>
      </c>
      <c r="E15">
        <v>51.6</v>
      </c>
      <c r="F15">
        <v>-3.500583430571691E-3</v>
      </c>
      <c r="G15">
        <v>1.421519216355227E-2</v>
      </c>
    </row>
    <row r="16" spans="1:7" x14ac:dyDescent="0.3">
      <c r="A16">
        <v>44118</v>
      </c>
      <c r="B16">
        <v>57.02</v>
      </c>
      <c r="C16">
        <v>51.6</v>
      </c>
      <c r="D16">
        <v>51.6</v>
      </c>
      <c r="E16">
        <v>52.59</v>
      </c>
      <c r="F16">
        <v>-1.918604651162803E-2</v>
      </c>
      <c r="G16">
        <v>6.0302561547941336E-3</v>
      </c>
    </row>
    <row r="17" spans="1:7" x14ac:dyDescent="0.3">
      <c r="A17">
        <v>44119</v>
      </c>
      <c r="B17">
        <v>57.08</v>
      </c>
      <c r="C17">
        <v>40.19</v>
      </c>
      <c r="D17">
        <v>56.69</v>
      </c>
      <c r="E17">
        <v>42.95</v>
      </c>
      <c r="F17">
        <v>0.1833048108005324</v>
      </c>
      <c r="G17">
        <v>3.7192371607185359E-3</v>
      </c>
    </row>
    <row r="18" spans="1:7" x14ac:dyDescent="0.3">
      <c r="A18">
        <v>44120</v>
      </c>
      <c r="B18">
        <v>43.44</v>
      </c>
      <c r="C18">
        <v>39.049999999999997</v>
      </c>
      <c r="D18">
        <v>42.95</v>
      </c>
      <c r="E18">
        <v>39.340000000000003</v>
      </c>
      <c r="F18">
        <v>8.4051222351571586E-2</v>
      </c>
      <c r="G18">
        <v>3.2088959491660018E-2</v>
      </c>
    </row>
    <row r="19" spans="1:7" x14ac:dyDescent="0.3">
      <c r="A19">
        <v>44121</v>
      </c>
      <c r="B19">
        <v>43.2</v>
      </c>
      <c r="C19">
        <v>38.67</v>
      </c>
      <c r="D19">
        <v>39.340000000000003</v>
      </c>
      <c r="E19">
        <v>41.39</v>
      </c>
      <c r="F19">
        <v>-5.2109811896288605E-2</v>
      </c>
      <c r="G19">
        <v>-8.3976147491657827E-3</v>
      </c>
    </row>
    <row r="20" spans="1:7" x14ac:dyDescent="0.3">
      <c r="A20">
        <v>44122</v>
      </c>
      <c r="B20">
        <v>41.97</v>
      </c>
      <c r="C20">
        <v>39.01</v>
      </c>
      <c r="D20">
        <v>41.39</v>
      </c>
      <c r="E20">
        <v>40.85</v>
      </c>
      <c r="F20">
        <v>1.304662962068126E-2</v>
      </c>
      <c r="G20">
        <v>-2.6556354265563575E-2</v>
      </c>
    </row>
    <row r="21" spans="1:7" x14ac:dyDescent="0.3">
      <c r="A21">
        <v>44123</v>
      </c>
      <c r="B21">
        <v>41.85</v>
      </c>
      <c r="C21">
        <v>35.729999999999997</v>
      </c>
      <c r="D21">
        <v>40.85</v>
      </c>
      <c r="E21">
        <v>36.03</v>
      </c>
      <c r="F21">
        <v>0.11799265605875153</v>
      </c>
      <c r="G21">
        <v>-2.5631540006343378E-3</v>
      </c>
    </row>
    <row r="22" spans="1:7" x14ac:dyDescent="0.3">
      <c r="A22">
        <v>44124</v>
      </c>
      <c r="B22">
        <v>36.979999999999997</v>
      </c>
      <c r="C22">
        <v>32.03</v>
      </c>
      <c r="D22">
        <v>36.03</v>
      </c>
      <c r="E22">
        <v>32.200000000000003</v>
      </c>
      <c r="F22">
        <v>0.10630030530113788</v>
      </c>
      <c r="G22">
        <v>2.8122611422998878E-2</v>
      </c>
    </row>
    <row r="23" spans="1:7" x14ac:dyDescent="0.3">
      <c r="A23">
        <v>44125</v>
      </c>
      <c r="B23">
        <v>37.31</v>
      </c>
      <c r="C23">
        <v>33.880000000000003</v>
      </c>
      <c r="D23">
        <v>32.200000000000003</v>
      </c>
      <c r="E23">
        <v>35.15</v>
      </c>
      <c r="F23">
        <v>-9.1614906832298004E-2</v>
      </c>
      <c r="G23">
        <v>-6.1615230243531993E-2</v>
      </c>
    </row>
    <row r="24" spans="1:7" x14ac:dyDescent="0.3">
      <c r="A24">
        <v>44126</v>
      </c>
      <c r="B24">
        <v>39.619999999999997</v>
      </c>
      <c r="C24">
        <v>34.07</v>
      </c>
      <c r="D24">
        <v>35.15</v>
      </c>
      <c r="E24">
        <v>37.81</v>
      </c>
      <c r="F24">
        <v>-7.5675675675675791E-2</v>
      </c>
      <c r="G24">
        <v>-5.8856588157155221E-2</v>
      </c>
    </row>
    <row r="25" spans="1:7" x14ac:dyDescent="0.3">
      <c r="A25">
        <v>44127</v>
      </c>
      <c r="B25">
        <v>42.62</v>
      </c>
      <c r="C25">
        <v>37.19</v>
      </c>
      <c r="D25">
        <v>37.81</v>
      </c>
      <c r="E25">
        <v>41.58</v>
      </c>
      <c r="F25">
        <v>-9.970907167416021E-2</v>
      </c>
      <c r="G25">
        <v>1.189384800965021E-2</v>
      </c>
    </row>
    <row r="26" spans="1:7" x14ac:dyDescent="0.3">
      <c r="A26">
        <v>44128</v>
      </c>
      <c r="B26">
        <v>45.71</v>
      </c>
      <c r="C26">
        <v>38.659999999999997</v>
      </c>
      <c r="D26">
        <v>41.58</v>
      </c>
      <c r="E26">
        <v>39.479999999999997</v>
      </c>
      <c r="F26">
        <v>5.0505050505050497E-2</v>
      </c>
      <c r="G26">
        <v>-7.275923529555417E-3</v>
      </c>
    </row>
    <row r="27" spans="1:7" x14ac:dyDescent="0.3">
      <c r="A27">
        <v>44129</v>
      </c>
      <c r="B27">
        <v>40.299999999999997</v>
      </c>
      <c r="C27">
        <v>37.43</v>
      </c>
      <c r="D27">
        <v>39.479999999999997</v>
      </c>
      <c r="E27">
        <v>37.909999999999997</v>
      </c>
      <c r="F27">
        <v>3.976697061803447E-2</v>
      </c>
      <c r="G27">
        <v>1.5004241910071547E-2</v>
      </c>
    </row>
    <row r="28" spans="1:7" x14ac:dyDescent="0.3">
      <c r="A28">
        <v>44130</v>
      </c>
      <c r="B28">
        <v>39.200000000000003</v>
      </c>
      <c r="C28">
        <v>35.6</v>
      </c>
      <c r="D28">
        <v>37.909999999999997</v>
      </c>
      <c r="E28">
        <v>36.01</v>
      </c>
      <c r="F28">
        <v>5.0118702189395958E-2</v>
      </c>
      <c r="G28">
        <v>3.2606555763362577E-2</v>
      </c>
    </row>
    <row r="29" spans="1:7" x14ac:dyDescent="0.3">
      <c r="A29">
        <v>44131</v>
      </c>
      <c r="B29">
        <v>39.700000000000003</v>
      </c>
      <c r="C29">
        <v>34.25</v>
      </c>
      <c r="D29">
        <v>36.01</v>
      </c>
      <c r="E29">
        <v>34.96</v>
      </c>
      <c r="F29">
        <v>2.9158567064704211E-2</v>
      </c>
      <c r="G29">
        <v>-2.7040777390552329E-2</v>
      </c>
    </row>
    <row r="30" spans="1:7" x14ac:dyDescent="0.3">
      <c r="A30">
        <v>44132</v>
      </c>
      <c r="B30">
        <v>34.5</v>
      </c>
      <c r="C30">
        <v>32.22</v>
      </c>
      <c r="D30">
        <v>34.96</v>
      </c>
      <c r="E30">
        <v>32.44</v>
      </c>
      <c r="F30">
        <v>7.2082379862700274E-2</v>
      </c>
      <c r="G30">
        <v>3.7078317729231758E-2</v>
      </c>
    </row>
    <row r="31" spans="1:7" x14ac:dyDescent="0.3">
      <c r="A31">
        <v>44133</v>
      </c>
      <c r="B31">
        <v>33.64</v>
      </c>
      <c r="C31">
        <v>28.35</v>
      </c>
      <c r="D31">
        <v>32.44</v>
      </c>
      <c r="E31">
        <v>29.12</v>
      </c>
      <c r="F31">
        <v>0.10234278668310715</v>
      </c>
      <c r="G31">
        <v>3.163824369164181E-3</v>
      </c>
    </row>
    <row r="32" spans="1:7" x14ac:dyDescent="0.3">
      <c r="A32">
        <v>44134</v>
      </c>
      <c r="B32">
        <v>32.1</v>
      </c>
      <c r="C32">
        <v>27.84</v>
      </c>
      <c r="D32">
        <v>29.12</v>
      </c>
      <c r="E32">
        <v>31.15</v>
      </c>
      <c r="F32">
        <v>-6.9711538461538325E-2</v>
      </c>
      <c r="G32">
        <v>1.2334210662125256E-2</v>
      </c>
    </row>
    <row r="33" spans="1:7" x14ac:dyDescent="0.3">
      <c r="A33">
        <v>44135</v>
      </c>
      <c r="B33">
        <v>33.29</v>
      </c>
      <c r="C33">
        <v>29.51</v>
      </c>
      <c r="D33">
        <v>31.15</v>
      </c>
      <c r="E33">
        <v>29.75</v>
      </c>
      <c r="F33">
        <v>4.49438202247191E-2</v>
      </c>
      <c r="G33">
        <v>-1.0476538823283477E-2</v>
      </c>
    </row>
    <row r="34" spans="1:7" x14ac:dyDescent="0.3">
      <c r="A34">
        <v>44136</v>
      </c>
      <c r="B34">
        <v>31.07</v>
      </c>
      <c r="C34">
        <v>28.5</v>
      </c>
      <c r="D34">
        <v>29.75</v>
      </c>
      <c r="E34">
        <v>30.78</v>
      </c>
      <c r="F34">
        <v>-3.4621848739495809E-2</v>
      </c>
      <c r="G34">
        <v>-2.5803449078263707E-2</v>
      </c>
    </row>
    <row r="35" spans="1:7" x14ac:dyDescent="0.3">
      <c r="A35">
        <v>44137</v>
      </c>
      <c r="B35">
        <v>34.06</v>
      </c>
      <c r="C35">
        <v>29.21</v>
      </c>
      <c r="D35">
        <v>30.78</v>
      </c>
      <c r="E35">
        <v>29.78</v>
      </c>
      <c r="F35">
        <v>3.2488628979857048E-2</v>
      </c>
      <c r="G35">
        <v>3.3119092627599156E-2</v>
      </c>
    </row>
    <row r="36" spans="1:7" x14ac:dyDescent="0.3">
      <c r="A36">
        <v>44138</v>
      </c>
      <c r="B36">
        <v>31.02</v>
      </c>
      <c r="C36">
        <v>27.84</v>
      </c>
      <c r="D36">
        <v>29.78</v>
      </c>
      <c r="E36">
        <v>28.16</v>
      </c>
      <c r="F36">
        <v>5.4398925453324365E-2</v>
      </c>
      <c r="G36">
        <v>-1.191314095044449E-2</v>
      </c>
    </row>
    <row r="37" spans="1:7" x14ac:dyDescent="0.3">
      <c r="A37">
        <v>44139</v>
      </c>
      <c r="B37">
        <v>28.91</v>
      </c>
      <c r="C37">
        <v>26.55</v>
      </c>
      <c r="D37">
        <v>28.16</v>
      </c>
      <c r="E37">
        <v>27.71</v>
      </c>
      <c r="F37">
        <v>1.5980113636363646E-2</v>
      </c>
      <c r="G37">
        <v>-3.730228244628786E-2</v>
      </c>
    </row>
    <row r="38" spans="1:7" x14ac:dyDescent="0.3">
      <c r="A38">
        <v>44140</v>
      </c>
      <c r="B38">
        <v>33.18</v>
      </c>
      <c r="C38">
        <v>27.27</v>
      </c>
      <c r="D38">
        <v>27.71</v>
      </c>
      <c r="E38">
        <v>31.11</v>
      </c>
      <c r="F38">
        <v>-0.12269938650306744</v>
      </c>
      <c r="G38">
        <v>-3.5339989072666667E-2</v>
      </c>
    </row>
    <row r="39" spans="1:7" x14ac:dyDescent="0.3">
      <c r="A39">
        <v>44141</v>
      </c>
      <c r="B39">
        <v>40.82</v>
      </c>
      <c r="C39">
        <v>31.04</v>
      </c>
      <c r="D39">
        <v>31.11</v>
      </c>
      <c r="E39">
        <v>38.57</v>
      </c>
      <c r="F39">
        <v>-0.23979427836708456</v>
      </c>
      <c r="G39">
        <v>-9.4581304420830348E-2</v>
      </c>
    </row>
    <row r="40" spans="1:7" x14ac:dyDescent="0.3">
      <c r="A40">
        <v>44142</v>
      </c>
      <c r="B40">
        <v>49.51</v>
      </c>
      <c r="C40">
        <v>36.67</v>
      </c>
      <c r="D40">
        <v>38.57</v>
      </c>
      <c r="E40">
        <v>44.65</v>
      </c>
      <c r="F40">
        <v>-0.1576354679802956</v>
      </c>
      <c r="G40">
        <v>4.4924614305750343E-2</v>
      </c>
    </row>
    <row r="41" spans="1:7" x14ac:dyDescent="0.3">
      <c r="A41">
        <v>44143</v>
      </c>
      <c r="B41">
        <v>54.86</v>
      </c>
      <c r="C41">
        <v>44.93</v>
      </c>
      <c r="D41">
        <v>44.65</v>
      </c>
      <c r="E41">
        <v>53.95</v>
      </c>
      <c r="F41">
        <v>-0.20828667413213897</v>
      </c>
      <c r="G41">
        <v>-4.3412417970721817E-2</v>
      </c>
    </row>
    <row r="42" spans="1:7" x14ac:dyDescent="0.3">
      <c r="A42">
        <v>44144</v>
      </c>
      <c r="B42">
        <v>58.26</v>
      </c>
      <c r="C42">
        <v>49.95</v>
      </c>
      <c r="D42">
        <v>53.95</v>
      </c>
      <c r="E42">
        <v>55.07</v>
      </c>
      <c r="F42">
        <v>-2.0759962928637687E-2</v>
      </c>
      <c r="G42">
        <v>2.2628315081145267E-2</v>
      </c>
    </row>
    <row r="43" spans="1:7" x14ac:dyDescent="0.3">
      <c r="A43">
        <v>44145</v>
      </c>
      <c r="B43">
        <v>70.66</v>
      </c>
      <c r="C43">
        <v>53.31</v>
      </c>
      <c r="D43">
        <v>55.07</v>
      </c>
      <c r="E43">
        <v>67.12</v>
      </c>
      <c r="F43">
        <v>-0.21881242055565653</v>
      </c>
      <c r="G43">
        <v>-1.4422319721003607E-2</v>
      </c>
    </row>
    <row r="44" spans="1:7" x14ac:dyDescent="0.3">
      <c r="A44">
        <v>44146</v>
      </c>
      <c r="B44">
        <v>70.89</v>
      </c>
      <c r="C44">
        <v>53.15</v>
      </c>
      <c r="D44">
        <v>67.12</v>
      </c>
      <c r="E44">
        <v>54.61</v>
      </c>
      <c r="F44">
        <v>0.18638259833134696</v>
      </c>
      <c r="G44">
        <v>-2.8944683493767442E-2</v>
      </c>
    </row>
    <row r="45" spans="1:7" x14ac:dyDescent="0.3">
      <c r="A45">
        <v>44147</v>
      </c>
      <c r="B45">
        <v>61.64</v>
      </c>
      <c r="C45">
        <v>50.89</v>
      </c>
      <c r="D45">
        <v>54.61</v>
      </c>
      <c r="E45">
        <v>51.87</v>
      </c>
      <c r="F45">
        <v>5.0173960813037932E-2</v>
      </c>
      <c r="G45">
        <v>2.4358172921472576E-3</v>
      </c>
    </row>
    <row r="46" spans="1:7" x14ac:dyDescent="0.3">
      <c r="A46">
        <v>44148</v>
      </c>
      <c r="B46">
        <v>67.91</v>
      </c>
      <c r="C46">
        <v>51.19</v>
      </c>
      <c r="D46">
        <v>51.87</v>
      </c>
      <c r="E46">
        <v>63.57</v>
      </c>
      <c r="F46">
        <v>-0.22556390977443619</v>
      </c>
      <c r="G46">
        <v>-3.0446432430096371E-2</v>
      </c>
    </row>
    <row r="47" spans="1:7" x14ac:dyDescent="0.3">
      <c r="A47">
        <v>44149</v>
      </c>
      <c r="B47">
        <v>69.61</v>
      </c>
      <c r="C47">
        <v>56.76</v>
      </c>
      <c r="D47">
        <v>63.57</v>
      </c>
      <c r="E47">
        <v>66.760000000000005</v>
      </c>
      <c r="F47">
        <v>-5.0180902941639127E-2</v>
      </c>
      <c r="G47">
        <v>3.3216599911925715E-2</v>
      </c>
    </row>
    <row r="48" spans="1:7" x14ac:dyDescent="0.3">
      <c r="A48">
        <v>44150</v>
      </c>
      <c r="B48">
        <v>70.709999999999994</v>
      </c>
      <c r="C48">
        <v>60.11</v>
      </c>
      <c r="D48">
        <v>66.760000000000005</v>
      </c>
      <c r="E48">
        <v>64.239999999999995</v>
      </c>
      <c r="F48">
        <v>3.7747153984421966E-2</v>
      </c>
      <c r="G48">
        <v>2.7156584170227482E-2</v>
      </c>
    </row>
    <row r="49" spans="1:7" x14ac:dyDescent="0.3">
      <c r="A49">
        <v>44151</v>
      </c>
      <c r="B49">
        <v>74.510000000000005</v>
      </c>
      <c r="C49">
        <v>63.91</v>
      </c>
      <c r="D49">
        <v>64.239999999999995</v>
      </c>
      <c r="E49">
        <v>73.02</v>
      </c>
      <c r="F49">
        <v>-0.13667496886674968</v>
      </c>
      <c r="G49">
        <v>-2.7870058638603368E-2</v>
      </c>
    </row>
    <row r="50" spans="1:7" x14ac:dyDescent="0.3">
      <c r="A50">
        <v>44152</v>
      </c>
      <c r="B50">
        <v>80.650000000000006</v>
      </c>
      <c r="C50">
        <v>70.14</v>
      </c>
      <c r="D50">
        <v>73.02</v>
      </c>
      <c r="E50">
        <v>79.23</v>
      </c>
      <c r="F50">
        <v>-8.504519309778158E-2</v>
      </c>
      <c r="G50">
        <v>-4.7070562460684195E-2</v>
      </c>
    </row>
    <row r="51" spans="1:7" x14ac:dyDescent="0.3">
      <c r="A51">
        <v>44153</v>
      </c>
      <c r="B51">
        <v>80.52</v>
      </c>
      <c r="C51">
        <v>68.69</v>
      </c>
      <c r="D51">
        <v>79.23</v>
      </c>
      <c r="E51">
        <v>75.150000000000006</v>
      </c>
      <c r="F51">
        <v>5.1495645588792049E-2</v>
      </c>
      <c r="G51">
        <v>8.1829669988191522E-3</v>
      </c>
    </row>
    <row r="52" spans="1:7" x14ac:dyDescent="0.3">
      <c r="A52">
        <v>44154</v>
      </c>
      <c r="B52">
        <v>80.59</v>
      </c>
      <c r="C52">
        <v>71.62</v>
      </c>
      <c r="D52">
        <v>75.150000000000006</v>
      </c>
      <c r="E52">
        <v>76.36</v>
      </c>
      <c r="F52">
        <v>-1.6101131071190933E-2</v>
      </c>
      <c r="G52">
        <v>1.4495780766981325E-2</v>
      </c>
    </row>
    <row r="53" spans="1:7" x14ac:dyDescent="0.3">
      <c r="A53">
        <v>44155</v>
      </c>
      <c r="B53">
        <v>83.93</v>
      </c>
      <c r="C53">
        <v>73.22</v>
      </c>
      <c r="D53">
        <v>76.36</v>
      </c>
      <c r="E53">
        <v>75.099999999999994</v>
      </c>
      <c r="F53">
        <v>1.6500785751702551E-2</v>
      </c>
      <c r="G53">
        <v>-8.1832054597092085E-2</v>
      </c>
    </row>
    <row r="54" spans="1:7" x14ac:dyDescent="0.3">
      <c r="A54">
        <v>44156</v>
      </c>
      <c r="B54">
        <v>76.989999999999995</v>
      </c>
      <c r="C54">
        <v>68.2</v>
      </c>
      <c r="D54">
        <v>75.099999999999994</v>
      </c>
      <c r="E54">
        <v>70.38</v>
      </c>
      <c r="F54">
        <v>6.2849533954727033E-2</v>
      </c>
      <c r="G54">
        <v>-8.195051231314765E-2</v>
      </c>
    </row>
    <row r="55" spans="1:7" x14ac:dyDescent="0.3">
      <c r="A55">
        <v>44157</v>
      </c>
      <c r="B55">
        <v>74.2</v>
      </c>
      <c r="C55">
        <v>63.42</v>
      </c>
      <c r="D55">
        <v>70.38</v>
      </c>
      <c r="E55">
        <v>68.88</v>
      </c>
      <c r="F55">
        <v>2.1312872975277064E-2</v>
      </c>
      <c r="G55">
        <v>-1.4033245210589129E-2</v>
      </c>
    </row>
    <row r="56" spans="1:7" x14ac:dyDescent="0.3">
      <c r="A56">
        <v>44158</v>
      </c>
      <c r="B56">
        <v>73.97</v>
      </c>
      <c r="C56">
        <v>66.67</v>
      </c>
      <c r="D56">
        <v>68.88</v>
      </c>
      <c r="E56">
        <v>72.349999999999994</v>
      </c>
      <c r="F56">
        <v>-5.0377468060394781E-2</v>
      </c>
      <c r="G56">
        <v>-8.7712719415724782E-2</v>
      </c>
    </row>
    <row r="57" spans="1:7" x14ac:dyDescent="0.3">
      <c r="A57">
        <v>44159</v>
      </c>
      <c r="B57">
        <v>80.12</v>
      </c>
      <c r="C57">
        <v>66.34</v>
      </c>
      <c r="D57">
        <v>72.349999999999994</v>
      </c>
      <c r="E57">
        <v>66.8</v>
      </c>
      <c r="F57">
        <v>7.6710435383552156E-2</v>
      </c>
      <c r="G57">
        <v>6.8129955838654999E-3</v>
      </c>
    </row>
    <row r="58" spans="1:7" x14ac:dyDescent="0.3">
      <c r="A58">
        <v>44160</v>
      </c>
      <c r="B58">
        <v>65.599999999999994</v>
      </c>
      <c r="C58">
        <v>59.6</v>
      </c>
      <c r="D58">
        <v>66.8</v>
      </c>
      <c r="E58">
        <v>61.8</v>
      </c>
      <c r="F58">
        <v>7.4850299401197584E-2</v>
      </c>
      <c r="G58">
        <v>5.8811861549142197E-2</v>
      </c>
    </row>
    <row r="59" spans="1:7" x14ac:dyDescent="0.3">
      <c r="A59">
        <v>44161</v>
      </c>
      <c r="B59">
        <v>64.77</v>
      </c>
      <c r="C59">
        <v>48.73</v>
      </c>
      <c r="D59">
        <v>61.8</v>
      </c>
      <c r="E59">
        <v>64.39</v>
      </c>
      <c r="F59">
        <v>-4.1909385113268582E-2</v>
      </c>
      <c r="G59">
        <v>8.6371619248331477E-2</v>
      </c>
    </row>
    <row r="60" spans="1:7" x14ac:dyDescent="0.3">
      <c r="A60">
        <v>44162</v>
      </c>
      <c r="B60">
        <v>68.52</v>
      </c>
      <c r="C60">
        <v>58.58</v>
      </c>
      <c r="D60">
        <v>64.39</v>
      </c>
      <c r="E60">
        <v>60.88</v>
      </c>
      <c r="F60">
        <v>5.4511570119583741E-2</v>
      </c>
      <c r="G60">
        <v>2.671946484179788E-3</v>
      </c>
    </row>
    <row r="61" spans="1:7" x14ac:dyDescent="0.3">
      <c r="A61">
        <v>44163</v>
      </c>
      <c r="B61">
        <v>66.83</v>
      </c>
      <c r="C61">
        <v>61.79</v>
      </c>
      <c r="D61">
        <v>60.88</v>
      </c>
      <c r="E61">
        <v>64.13</v>
      </c>
      <c r="F61">
        <v>-5.3383705650459801E-2</v>
      </c>
      <c r="G61">
        <v>-3.6929244646608739E-2</v>
      </c>
    </row>
    <row r="62" spans="1:7" x14ac:dyDescent="0.3">
      <c r="A62">
        <v>44164</v>
      </c>
      <c r="B62">
        <v>69.540000000000006</v>
      </c>
      <c r="C62">
        <v>63.84</v>
      </c>
      <c r="D62">
        <v>64.13</v>
      </c>
      <c r="E62">
        <v>69.48</v>
      </c>
      <c r="F62">
        <v>-8.3424294401996058E-2</v>
      </c>
      <c r="G62">
        <v>-5.0354095801037335E-2</v>
      </c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E3C60-5EC6-4DE7-A632-A3D0128C829D}">
  <sheetPr codeName="Sheet21">
    <tabColor rgb="FFC6E0B4"/>
  </sheetPr>
  <dimension ref="A1:G99"/>
  <sheetViews>
    <sheetView workbookViewId="0"/>
  </sheetViews>
  <sheetFormatPr defaultRowHeight="14.4" x14ac:dyDescent="0.3"/>
  <cols>
    <col min="1" max="1" width="8.88671875" style="3"/>
    <col min="2" max="5" width="8.88671875" style="4"/>
    <col min="6" max="6" width="8.88671875" style="5"/>
    <col min="7" max="7" width="8.886718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44104</v>
      </c>
      <c r="B2">
        <v>10811.76</v>
      </c>
      <c r="C2">
        <v>10771.87</v>
      </c>
      <c r="D2">
        <v>10862.97</v>
      </c>
      <c r="E2">
        <v>10779.42</v>
      </c>
      <c r="F2"/>
      <c r="G2"/>
    </row>
    <row r="3" spans="1:7" x14ac:dyDescent="0.3">
      <c r="A3">
        <v>44105</v>
      </c>
      <c r="B3">
        <v>10633.41</v>
      </c>
      <c r="C3">
        <v>10612.17</v>
      </c>
      <c r="D3">
        <v>10779.42</v>
      </c>
      <c r="E3">
        <v>10622.79</v>
      </c>
      <c r="F3">
        <v>1.4530466388729568E-2</v>
      </c>
      <c r="G3">
        <v>1.8370296259240804E-2</v>
      </c>
    </row>
    <row r="4" spans="1:7" x14ac:dyDescent="0.3">
      <c r="A4">
        <v>44106</v>
      </c>
      <c r="B4">
        <v>10597.79</v>
      </c>
      <c r="C4">
        <v>10559.72</v>
      </c>
      <c r="D4">
        <v>10622.79</v>
      </c>
      <c r="E4">
        <v>10576.64</v>
      </c>
      <c r="F4">
        <v>4.3444330538400244E-3</v>
      </c>
      <c r="G4">
        <v>2.0894085671413598E-2</v>
      </c>
    </row>
    <row r="5" spans="1:7" x14ac:dyDescent="0.3">
      <c r="A5">
        <v>44107</v>
      </c>
      <c r="B5">
        <v>10573.14</v>
      </c>
      <c r="C5">
        <v>10545.71</v>
      </c>
      <c r="D5">
        <v>10576.64</v>
      </c>
      <c r="E5">
        <v>10562.59</v>
      </c>
      <c r="F5">
        <v>1.3283991891563929E-3</v>
      </c>
      <c r="G5">
        <v>-1.4168811265651282E-3</v>
      </c>
    </row>
    <row r="6" spans="1:7" x14ac:dyDescent="0.3">
      <c r="A6">
        <v>44108</v>
      </c>
      <c r="B6">
        <v>10696.87</v>
      </c>
      <c r="C6">
        <v>10669.11</v>
      </c>
      <c r="D6">
        <v>10562.59</v>
      </c>
      <c r="E6">
        <v>10696.87</v>
      </c>
      <c r="F6">
        <v>-1.2712791086277209E-2</v>
      </c>
      <c r="G6">
        <v>-1.816239316239332E-2</v>
      </c>
    </row>
    <row r="7" spans="1:7" x14ac:dyDescent="0.3">
      <c r="A7">
        <v>44109</v>
      </c>
      <c r="B7">
        <v>10827.5</v>
      </c>
      <c r="C7">
        <v>10795.11</v>
      </c>
      <c r="D7">
        <v>10696.87</v>
      </c>
      <c r="E7">
        <v>10795.11</v>
      </c>
      <c r="F7">
        <v>-9.1839949443155433E-3</v>
      </c>
      <c r="G7">
        <v>-3.2613936076684169E-3</v>
      </c>
    </row>
    <row r="8" spans="1:7" x14ac:dyDescent="0.3">
      <c r="A8">
        <v>44110</v>
      </c>
      <c r="B8">
        <v>10625.11</v>
      </c>
      <c r="C8">
        <v>10603.9</v>
      </c>
      <c r="D8">
        <v>10795.11</v>
      </c>
      <c r="E8">
        <v>10603.9</v>
      </c>
      <c r="F8">
        <v>1.7712649523719648E-2</v>
      </c>
      <c r="G8">
        <v>3.6493668023518722E-2</v>
      </c>
    </row>
    <row r="9" spans="1:7" x14ac:dyDescent="0.3">
      <c r="A9">
        <v>44111</v>
      </c>
      <c r="B9">
        <v>10694.02</v>
      </c>
      <c r="C9">
        <v>10647.06</v>
      </c>
      <c r="D9">
        <v>10603.9</v>
      </c>
      <c r="E9">
        <v>10672.67</v>
      </c>
      <c r="F9">
        <v>-6.4853497298165141E-3</v>
      </c>
      <c r="G9">
        <v>-3.1098723778788528E-3</v>
      </c>
    </row>
    <row r="10" spans="1:7" x14ac:dyDescent="0.3">
      <c r="A10">
        <v>44112</v>
      </c>
      <c r="B10">
        <v>10951.26</v>
      </c>
      <c r="C10">
        <v>10925.03</v>
      </c>
      <c r="D10">
        <v>10672.67</v>
      </c>
      <c r="E10">
        <v>10940.33</v>
      </c>
      <c r="F10">
        <v>-2.5079010219560827E-2</v>
      </c>
      <c r="G10">
        <v>-2.7170892925038714E-2</v>
      </c>
    </row>
    <row r="11" spans="1:7" x14ac:dyDescent="0.3">
      <c r="A11">
        <v>44113</v>
      </c>
      <c r="B11">
        <v>11091.96</v>
      </c>
      <c r="C11">
        <v>11058.78</v>
      </c>
      <c r="D11">
        <v>10940.33</v>
      </c>
      <c r="E11">
        <v>11069.84</v>
      </c>
      <c r="F11">
        <v>-1.1837851326239823E-2</v>
      </c>
      <c r="G11">
        <v>-4.0461275626423765E-2</v>
      </c>
    </row>
    <row r="12" spans="1:7" x14ac:dyDescent="0.3">
      <c r="A12">
        <v>44114</v>
      </c>
      <c r="B12">
        <v>11324.17</v>
      </c>
      <c r="C12">
        <v>11301.57</v>
      </c>
      <c r="D12">
        <v>11069.84</v>
      </c>
      <c r="E12">
        <v>11312.87</v>
      </c>
      <c r="F12">
        <v>-2.1954246854516413E-2</v>
      </c>
      <c r="G12">
        <v>-1.4969486330423276E-2</v>
      </c>
    </row>
    <row r="13" spans="1:7" x14ac:dyDescent="0.3">
      <c r="A13">
        <v>44115</v>
      </c>
      <c r="B13">
        <v>11398.26</v>
      </c>
      <c r="C13">
        <v>11375.51</v>
      </c>
      <c r="D13">
        <v>11312.87</v>
      </c>
      <c r="E13">
        <v>11386.89</v>
      </c>
      <c r="F13">
        <v>-6.5429904171088182E-3</v>
      </c>
      <c r="G13">
        <v>-9.4100517687663032E-3</v>
      </c>
    </row>
    <row r="14" spans="1:7" x14ac:dyDescent="0.3">
      <c r="A14">
        <v>44116</v>
      </c>
      <c r="B14">
        <v>11562.84</v>
      </c>
      <c r="C14">
        <v>11442.83</v>
      </c>
      <c r="D14">
        <v>11386.89</v>
      </c>
      <c r="E14">
        <v>11551.3</v>
      </c>
      <c r="F14">
        <v>-1.4438534138821124E-2</v>
      </c>
      <c r="G14">
        <v>-3.3496273739882954E-2</v>
      </c>
    </row>
    <row r="15" spans="1:7" x14ac:dyDescent="0.3">
      <c r="A15">
        <v>44117</v>
      </c>
      <c r="B15">
        <v>11514.77</v>
      </c>
      <c r="C15">
        <v>11343.13</v>
      </c>
      <c r="D15">
        <v>11545.39</v>
      </c>
      <c r="E15">
        <v>11430.86</v>
      </c>
      <c r="F15">
        <v>1.0426532078640416E-2</v>
      </c>
      <c r="G15">
        <v>1.421519216355227E-2</v>
      </c>
    </row>
    <row r="16" spans="1:7" x14ac:dyDescent="0.3">
      <c r="A16">
        <v>44118</v>
      </c>
      <c r="B16">
        <v>11452.16</v>
      </c>
      <c r="C16">
        <v>11424.73</v>
      </c>
      <c r="D16">
        <v>11427.29</v>
      </c>
      <c r="E16">
        <v>11429.3</v>
      </c>
      <c r="F16">
        <v>1.3647267134764274E-4</v>
      </c>
      <c r="G16">
        <v>6.0302561547941336E-3</v>
      </c>
    </row>
    <row r="17" spans="1:7" x14ac:dyDescent="0.3">
      <c r="A17">
        <v>44119</v>
      </c>
      <c r="B17">
        <v>11531.33</v>
      </c>
      <c r="C17">
        <v>11503.71</v>
      </c>
      <c r="D17">
        <v>11429.3</v>
      </c>
      <c r="E17">
        <v>11508.31</v>
      </c>
      <c r="F17">
        <v>-6.9129343004383781E-3</v>
      </c>
      <c r="G17">
        <v>3.7192371607185359E-3</v>
      </c>
    </row>
    <row r="18" spans="1:7" x14ac:dyDescent="0.3">
      <c r="A18">
        <v>44120</v>
      </c>
      <c r="B18">
        <v>11348.9</v>
      </c>
      <c r="C18">
        <v>11304.73</v>
      </c>
      <c r="D18">
        <v>11508.31</v>
      </c>
      <c r="E18">
        <v>11337.58</v>
      </c>
      <c r="F18">
        <v>1.4835366791475013E-2</v>
      </c>
      <c r="G18">
        <v>3.2088959491660018E-2</v>
      </c>
    </row>
    <row r="19" spans="1:7" x14ac:dyDescent="0.3">
      <c r="A19">
        <v>44121</v>
      </c>
      <c r="B19">
        <v>11417.06</v>
      </c>
      <c r="C19">
        <v>11306.5</v>
      </c>
      <c r="D19">
        <v>11274.49</v>
      </c>
      <c r="E19">
        <v>11372.84</v>
      </c>
      <c r="F19">
        <v>-3.1100111311233025E-3</v>
      </c>
      <c r="G19">
        <v>-8.3976147491657827E-3</v>
      </c>
    </row>
    <row r="20" spans="1:7" x14ac:dyDescent="0.3">
      <c r="A20">
        <v>44122</v>
      </c>
      <c r="B20">
        <v>11705.15</v>
      </c>
      <c r="C20">
        <v>11474.3</v>
      </c>
      <c r="D20">
        <v>11372.84</v>
      </c>
      <c r="E20">
        <v>11504.58</v>
      </c>
      <c r="F20">
        <v>-1.1583738098839058E-2</v>
      </c>
      <c r="G20">
        <v>-2.6556354265563575E-2</v>
      </c>
    </row>
    <row r="21" spans="1:7" x14ac:dyDescent="0.3">
      <c r="A21">
        <v>44123</v>
      </c>
      <c r="B21">
        <v>11792.06</v>
      </c>
      <c r="C21">
        <v>11526.48</v>
      </c>
      <c r="D21">
        <v>11504.58</v>
      </c>
      <c r="E21">
        <v>11750.33</v>
      </c>
      <c r="F21">
        <v>-2.1361057943879658E-2</v>
      </c>
      <c r="G21">
        <v>-2.5631540006343378E-3</v>
      </c>
    </row>
    <row r="22" spans="1:7" x14ac:dyDescent="0.3">
      <c r="A22">
        <v>44124</v>
      </c>
      <c r="B22">
        <v>11993.31</v>
      </c>
      <c r="C22">
        <v>11921.78</v>
      </c>
      <c r="D22">
        <v>11780.39</v>
      </c>
      <c r="E22">
        <v>11921.78</v>
      </c>
      <c r="F22">
        <v>-1.4591079569680199E-2</v>
      </c>
      <c r="G22">
        <v>2.8122611422998878E-2</v>
      </c>
    </row>
    <row r="23" spans="1:7" x14ac:dyDescent="0.3">
      <c r="A23">
        <v>44125</v>
      </c>
      <c r="B23">
        <v>12851.55</v>
      </c>
      <c r="C23">
        <v>12807.98</v>
      </c>
      <c r="D23">
        <v>11921.78</v>
      </c>
      <c r="E23">
        <v>12825.92</v>
      </c>
      <c r="F23">
        <v>-7.5839346137908992E-2</v>
      </c>
      <c r="G23">
        <v>-6.1615230243531993E-2</v>
      </c>
    </row>
    <row r="24" spans="1:7" x14ac:dyDescent="0.3">
      <c r="A24">
        <v>44126</v>
      </c>
      <c r="B24">
        <v>13016.23</v>
      </c>
      <c r="C24">
        <v>12977.26</v>
      </c>
      <c r="D24">
        <v>12825.92</v>
      </c>
      <c r="E24">
        <v>12990.25</v>
      </c>
      <c r="F24">
        <v>-1.2812336269055091E-2</v>
      </c>
      <c r="G24">
        <v>-5.8856588157155221E-2</v>
      </c>
    </row>
    <row r="25" spans="1:7" x14ac:dyDescent="0.3">
      <c r="A25">
        <v>44127</v>
      </c>
      <c r="B25">
        <v>12950.14</v>
      </c>
      <c r="C25">
        <v>12920.38</v>
      </c>
      <c r="D25">
        <v>12990.25</v>
      </c>
      <c r="E25">
        <v>12937.2</v>
      </c>
      <c r="F25">
        <v>4.0838321048478621E-3</v>
      </c>
      <c r="G25">
        <v>1.189384800965021E-2</v>
      </c>
    </row>
    <row r="26" spans="1:7" x14ac:dyDescent="0.3">
      <c r="A26">
        <v>44128</v>
      </c>
      <c r="B26">
        <v>13192.39</v>
      </c>
      <c r="C26">
        <v>12920.13</v>
      </c>
      <c r="D26">
        <v>12938.32</v>
      </c>
      <c r="E26">
        <v>13114.01</v>
      </c>
      <c r="F26">
        <v>-1.3666790341032131E-2</v>
      </c>
      <c r="G26">
        <v>-7.275923529555417E-3</v>
      </c>
    </row>
    <row r="27" spans="1:7" x14ac:dyDescent="0.3">
      <c r="A27">
        <v>44129</v>
      </c>
      <c r="B27">
        <v>13050.36</v>
      </c>
      <c r="C27">
        <v>12871.58</v>
      </c>
      <c r="D27">
        <v>13114.01</v>
      </c>
      <c r="E27">
        <v>13046.29</v>
      </c>
      <c r="F27">
        <v>5.1639429892152977E-3</v>
      </c>
      <c r="G27">
        <v>1.5004241910071547E-2</v>
      </c>
    </row>
    <row r="28" spans="1:7" x14ac:dyDescent="0.3">
      <c r="A28">
        <v>44130</v>
      </c>
      <c r="B28">
        <v>13082.5</v>
      </c>
      <c r="C28">
        <v>12989.71</v>
      </c>
      <c r="D28">
        <v>13034.69</v>
      </c>
      <c r="E28">
        <v>13069.43</v>
      </c>
      <c r="F28">
        <v>-1.7736843194502416E-3</v>
      </c>
      <c r="G28">
        <v>3.2606555763362577E-2</v>
      </c>
    </row>
    <row r="29" spans="1:7" x14ac:dyDescent="0.3">
      <c r="A29">
        <v>44131</v>
      </c>
      <c r="B29">
        <v>13700.6</v>
      </c>
      <c r="C29">
        <v>13592.8</v>
      </c>
      <c r="D29">
        <v>13069.43</v>
      </c>
      <c r="E29">
        <v>13631.01</v>
      </c>
      <c r="F29">
        <v>-4.2968974163372087E-2</v>
      </c>
      <c r="G29">
        <v>-2.7040777390552329E-2</v>
      </c>
    </row>
    <row r="30" spans="1:7" x14ac:dyDescent="0.3">
      <c r="A30">
        <v>44132</v>
      </c>
      <c r="B30">
        <v>13486.43</v>
      </c>
      <c r="C30">
        <v>13031.57</v>
      </c>
      <c r="D30">
        <v>13630.26</v>
      </c>
      <c r="E30">
        <v>13245.39</v>
      </c>
      <c r="F30">
        <v>2.828990661733799E-2</v>
      </c>
      <c r="G30">
        <v>3.7078317729231758E-2</v>
      </c>
    </row>
    <row r="31" spans="1:7" x14ac:dyDescent="0.3">
      <c r="A31">
        <v>44133</v>
      </c>
      <c r="B31">
        <v>13513.52</v>
      </c>
      <c r="C31">
        <v>13056.22</v>
      </c>
      <c r="D31">
        <v>13245.39</v>
      </c>
      <c r="E31">
        <v>13436.01</v>
      </c>
      <c r="F31">
        <v>-1.4391422223128281E-2</v>
      </c>
      <c r="G31">
        <v>3.163824369164181E-3</v>
      </c>
    </row>
    <row r="32" spans="1:7" x14ac:dyDescent="0.3">
      <c r="A32">
        <v>44134</v>
      </c>
      <c r="B32">
        <v>13633.78</v>
      </c>
      <c r="C32">
        <v>13500.83</v>
      </c>
      <c r="D32">
        <v>13435.26</v>
      </c>
      <c r="E32">
        <v>13548.31</v>
      </c>
      <c r="F32">
        <v>-8.3581360835545127E-3</v>
      </c>
      <c r="G32">
        <v>1.2334210662125256E-2</v>
      </c>
    </row>
    <row r="33" spans="1:7" x14ac:dyDescent="0.3">
      <c r="A33">
        <v>44135</v>
      </c>
      <c r="B33">
        <v>13799.6</v>
      </c>
      <c r="C33">
        <v>13548.2</v>
      </c>
      <c r="D33">
        <v>13538.22</v>
      </c>
      <c r="E33">
        <v>13749.32</v>
      </c>
      <c r="F33">
        <v>-1.4836536807911749E-2</v>
      </c>
      <c r="G33">
        <v>-1.0476538823283477E-2</v>
      </c>
    </row>
    <row r="34" spans="1:7" x14ac:dyDescent="0.3">
      <c r="A34">
        <v>44136</v>
      </c>
      <c r="B34">
        <v>14119.01</v>
      </c>
      <c r="C34">
        <v>13698.73</v>
      </c>
      <c r="D34">
        <v>13749.32</v>
      </c>
      <c r="E34">
        <v>13734.41</v>
      </c>
      <c r="F34">
        <v>1.0844172657266116E-3</v>
      </c>
      <c r="G34">
        <v>-2.5803449078263707E-2</v>
      </c>
    </row>
    <row r="35" spans="1:7" x14ac:dyDescent="0.3">
      <c r="A35">
        <v>44137</v>
      </c>
      <c r="B35">
        <v>13584.81</v>
      </c>
      <c r="C35">
        <v>13522.38</v>
      </c>
      <c r="D35">
        <v>13775.48</v>
      </c>
      <c r="E35">
        <v>13571.24</v>
      </c>
      <c r="F35">
        <v>1.1880379280944764E-2</v>
      </c>
      <c r="G35">
        <v>3.3119092627599156E-2</v>
      </c>
    </row>
    <row r="36" spans="1:7" x14ac:dyDescent="0.3">
      <c r="A36">
        <v>44138</v>
      </c>
      <c r="B36">
        <v>14107.92</v>
      </c>
      <c r="C36">
        <v>13938.23</v>
      </c>
      <c r="D36">
        <v>13571.24</v>
      </c>
      <c r="E36">
        <v>14022.38</v>
      </c>
      <c r="F36">
        <v>-3.3242356630639458E-2</v>
      </c>
      <c r="G36">
        <v>-1.191314095044449E-2</v>
      </c>
    </row>
    <row r="37" spans="1:7" x14ac:dyDescent="0.3">
      <c r="A37">
        <v>44139</v>
      </c>
      <c r="B37">
        <v>14186.05</v>
      </c>
      <c r="C37">
        <v>14057.21</v>
      </c>
      <c r="D37">
        <v>14022.38</v>
      </c>
      <c r="E37">
        <v>14143.57</v>
      </c>
      <c r="F37">
        <v>-8.6426127376380002E-3</v>
      </c>
      <c r="G37">
        <v>-3.730228244628786E-2</v>
      </c>
    </row>
    <row r="38" spans="1:7" x14ac:dyDescent="0.3">
      <c r="A38">
        <v>44140</v>
      </c>
      <c r="B38">
        <v>15615.52</v>
      </c>
      <c r="C38">
        <v>15481.36</v>
      </c>
      <c r="D38">
        <v>14143.57</v>
      </c>
      <c r="E38">
        <v>15581.2</v>
      </c>
      <c r="F38">
        <v>-0.10164548271758833</v>
      </c>
      <c r="G38">
        <v>-3.5339989072666667E-2</v>
      </c>
    </row>
    <row r="39" spans="1:7" x14ac:dyDescent="0.3">
      <c r="A39">
        <v>44141</v>
      </c>
      <c r="B39">
        <v>15606.21</v>
      </c>
      <c r="C39">
        <v>15537.61</v>
      </c>
      <c r="D39">
        <v>15581.2</v>
      </c>
      <c r="E39">
        <v>15575.03</v>
      </c>
      <c r="F39">
        <v>3.9599003927814902E-4</v>
      </c>
      <c r="G39">
        <v>-9.4581304420830348E-2</v>
      </c>
    </row>
    <row r="40" spans="1:7" x14ac:dyDescent="0.3">
      <c r="A40">
        <v>44142</v>
      </c>
      <c r="B40">
        <v>15541.34</v>
      </c>
      <c r="C40">
        <v>14525.88</v>
      </c>
      <c r="D40">
        <v>15565.08</v>
      </c>
      <c r="E40">
        <v>14791.73</v>
      </c>
      <c r="F40">
        <v>5.0292037960761649E-2</v>
      </c>
      <c r="G40">
        <v>4.4924614305750343E-2</v>
      </c>
    </row>
    <row r="41" spans="1:7" x14ac:dyDescent="0.3">
      <c r="A41">
        <v>44143</v>
      </c>
      <c r="B41">
        <v>15570.3</v>
      </c>
      <c r="C41">
        <v>15279.26</v>
      </c>
      <c r="D41">
        <v>14791.73</v>
      </c>
      <c r="E41">
        <v>15415.69</v>
      </c>
      <c r="F41">
        <v>-4.2183030652939157E-2</v>
      </c>
      <c r="G41">
        <v>-4.3412417970721817E-2</v>
      </c>
    </row>
    <row r="42" spans="1:7" x14ac:dyDescent="0.3">
      <c r="A42">
        <v>44144</v>
      </c>
      <c r="B42">
        <v>15311.3</v>
      </c>
      <c r="C42">
        <v>15017.97</v>
      </c>
      <c r="D42">
        <v>15415.69</v>
      </c>
      <c r="E42">
        <v>15297.97</v>
      </c>
      <c r="F42">
        <v>7.636375666609907E-3</v>
      </c>
      <c r="G42">
        <v>2.2628315081145267E-2</v>
      </c>
    </row>
    <row r="43" spans="1:7" x14ac:dyDescent="0.3">
      <c r="A43">
        <v>44145</v>
      </c>
      <c r="B43">
        <v>15586.23</v>
      </c>
      <c r="C43">
        <v>15198.49</v>
      </c>
      <c r="D43">
        <v>15297.97</v>
      </c>
      <c r="E43">
        <v>15261.61</v>
      </c>
      <c r="F43">
        <v>2.3767859395722457E-3</v>
      </c>
      <c r="G43">
        <v>-1.4422319721003607E-2</v>
      </c>
    </row>
    <row r="44" spans="1:7" x14ac:dyDescent="0.3">
      <c r="A44">
        <v>44146</v>
      </c>
      <c r="B44">
        <v>15749.74</v>
      </c>
      <c r="C44">
        <v>15313.67</v>
      </c>
      <c r="D44">
        <v>15261.61</v>
      </c>
      <c r="E44">
        <v>15652.32</v>
      </c>
      <c r="F44">
        <v>-2.5600837657363762E-2</v>
      </c>
      <c r="G44">
        <v>-2.8944683493767442E-2</v>
      </c>
    </row>
    <row r="45" spans="1:7" x14ac:dyDescent="0.3">
      <c r="A45">
        <v>44147</v>
      </c>
      <c r="B45">
        <v>16470.34</v>
      </c>
      <c r="C45">
        <v>15595.69</v>
      </c>
      <c r="D45">
        <v>15652.32</v>
      </c>
      <c r="E45">
        <v>16271.34</v>
      </c>
      <c r="F45">
        <v>-3.9548130884111687E-2</v>
      </c>
      <c r="G45">
        <v>2.4358172921472576E-3</v>
      </c>
    </row>
    <row r="46" spans="1:7" x14ac:dyDescent="0.3">
      <c r="A46">
        <v>44148</v>
      </c>
      <c r="B46">
        <v>17005.18</v>
      </c>
      <c r="C46">
        <v>16266.04</v>
      </c>
      <c r="D46">
        <v>16271.34</v>
      </c>
      <c r="E46">
        <v>16304.19</v>
      </c>
      <c r="F46">
        <v>-2.0188871967521393E-3</v>
      </c>
      <c r="G46">
        <v>-3.0446432430096371E-2</v>
      </c>
    </row>
    <row r="47" spans="1:7" x14ac:dyDescent="0.3">
      <c r="A47">
        <v>44149</v>
      </c>
      <c r="B47">
        <v>16066.9</v>
      </c>
      <c r="C47">
        <v>15734.95</v>
      </c>
      <c r="D47">
        <v>16304.19</v>
      </c>
      <c r="E47">
        <v>16066.9</v>
      </c>
      <c r="F47">
        <v>1.4553927548685341E-2</v>
      </c>
      <c r="G47">
        <v>3.3216599911925715E-2</v>
      </c>
    </row>
    <row r="48" spans="1:7" x14ac:dyDescent="0.3">
      <c r="A48">
        <v>44150</v>
      </c>
      <c r="B48">
        <v>16092.54</v>
      </c>
      <c r="C48">
        <v>15513.96</v>
      </c>
      <c r="D48">
        <v>16066.9</v>
      </c>
      <c r="E48">
        <v>15949.02</v>
      </c>
      <c r="F48">
        <v>7.3368229092107828E-3</v>
      </c>
      <c r="G48">
        <v>2.7156584170227482E-2</v>
      </c>
    </row>
    <row r="49" spans="1:7" x14ac:dyDescent="0.3">
      <c r="A49">
        <v>44151</v>
      </c>
      <c r="B49">
        <v>16775.78</v>
      </c>
      <c r="C49">
        <v>16319.77</v>
      </c>
      <c r="D49">
        <v>15949.02</v>
      </c>
      <c r="E49">
        <v>16715.900000000001</v>
      </c>
      <c r="F49">
        <v>-4.8083205112289029E-2</v>
      </c>
      <c r="G49">
        <v>-2.7870058638603368E-2</v>
      </c>
    </row>
    <row r="50" spans="1:7" x14ac:dyDescent="0.3">
      <c r="A50">
        <v>44152</v>
      </c>
      <c r="B50">
        <v>17681.54</v>
      </c>
      <c r="C50">
        <v>17647.95</v>
      </c>
      <c r="D50">
        <v>16706.41</v>
      </c>
      <c r="E50">
        <v>17681.54</v>
      </c>
      <c r="F50">
        <v>-5.7767754054522946E-2</v>
      </c>
      <c r="G50">
        <v>-4.7070562460684195E-2</v>
      </c>
    </row>
    <row r="51" spans="1:7" x14ac:dyDescent="0.3">
      <c r="A51">
        <v>44153</v>
      </c>
      <c r="B51">
        <v>18192.88</v>
      </c>
      <c r="C51">
        <v>17350.259999999998</v>
      </c>
      <c r="D51">
        <v>17658.259999999998</v>
      </c>
      <c r="E51">
        <v>17766.78</v>
      </c>
      <c r="F51">
        <v>-4.8208470529149672E-3</v>
      </c>
      <c r="G51">
        <v>8.1829669988191522E-3</v>
      </c>
    </row>
    <row r="52" spans="1:7" x14ac:dyDescent="0.3">
      <c r="A52">
        <v>44154</v>
      </c>
      <c r="B52">
        <v>17927.099999999999</v>
      </c>
      <c r="C52">
        <v>17389.150000000001</v>
      </c>
      <c r="D52">
        <v>17766.78</v>
      </c>
      <c r="E52">
        <v>17794.97</v>
      </c>
      <c r="F52">
        <v>-1.5866690531431971E-3</v>
      </c>
      <c r="G52">
        <v>1.4495780766981325E-2</v>
      </c>
    </row>
    <row r="53" spans="1:7" x14ac:dyDescent="0.3">
      <c r="A53">
        <v>44155</v>
      </c>
      <c r="B53">
        <v>19324.88</v>
      </c>
      <c r="C53">
        <v>18201.93</v>
      </c>
      <c r="D53">
        <v>17794.97</v>
      </c>
      <c r="E53">
        <v>18635.8</v>
      </c>
      <c r="F53">
        <v>-4.7250992836739725E-2</v>
      </c>
      <c r="G53">
        <v>-8.1832054597092085E-2</v>
      </c>
    </row>
    <row r="54" spans="1:7" x14ac:dyDescent="0.3">
      <c r="A54">
        <v>44156</v>
      </c>
      <c r="B54">
        <v>20328.689999999999</v>
      </c>
      <c r="C54">
        <v>18649.82</v>
      </c>
      <c r="D54">
        <v>18635.8</v>
      </c>
      <c r="E54">
        <v>18655.34</v>
      </c>
      <c r="F54">
        <v>-1.0485195161999972E-3</v>
      </c>
      <c r="G54">
        <v>-8.195051231314765E-2</v>
      </c>
    </row>
    <row r="55" spans="1:7" x14ac:dyDescent="0.3">
      <c r="A55">
        <v>44157</v>
      </c>
      <c r="B55">
        <v>19275.54</v>
      </c>
      <c r="C55">
        <v>17937.12</v>
      </c>
      <c r="D55">
        <v>18655.34</v>
      </c>
      <c r="E55">
        <v>18373.93</v>
      </c>
      <c r="F55">
        <v>1.5084688888007403E-2</v>
      </c>
      <c r="G55">
        <v>-1.4033245210589129E-2</v>
      </c>
    </row>
    <row r="56" spans="1:7" x14ac:dyDescent="0.3">
      <c r="A56">
        <v>44158</v>
      </c>
      <c r="B56">
        <v>20009.919999999998</v>
      </c>
      <c r="C56">
        <v>18334.810000000001</v>
      </c>
      <c r="D56">
        <v>18373.93</v>
      </c>
      <c r="E56">
        <v>18371.36</v>
      </c>
      <c r="F56">
        <v>1.398720905108064E-4</v>
      </c>
      <c r="G56">
        <v>-8.7712719415724782E-2</v>
      </c>
    </row>
    <row r="57" spans="1:7" x14ac:dyDescent="0.3">
      <c r="A57">
        <v>44159</v>
      </c>
      <c r="B57">
        <v>19157.16</v>
      </c>
      <c r="C57">
        <v>19105.439999999999</v>
      </c>
      <c r="D57">
        <v>18356.32</v>
      </c>
      <c r="E57">
        <v>19141.830000000002</v>
      </c>
      <c r="F57">
        <v>-4.1938647982511901E-2</v>
      </c>
      <c r="G57">
        <v>6.8129955838654999E-3</v>
      </c>
    </row>
    <row r="58" spans="1:7" x14ac:dyDescent="0.3">
      <c r="A58">
        <v>44160</v>
      </c>
      <c r="B58">
        <v>18961.02</v>
      </c>
      <c r="C58">
        <v>17936.099999999999</v>
      </c>
      <c r="D58">
        <v>19149.830000000002</v>
      </c>
      <c r="E58">
        <v>18676.32</v>
      </c>
      <c r="F58">
        <v>2.4318991444391758E-2</v>
      </c>
      <c r="G58">
        <v>5.8811861549142197E-2</v>
      </c>
    </row>
    <row r="59" spans="1:7" x14ac:dyDescent="0.3">
      <c r="A59">
        <v>44161</v>
      </c>
      <c r="B59">
        <v>17210.21</v>
      </c>
      <c r="C59">
        <v>17050.48</v>
      </c>
      <c r="D59">
        <v>18693.93</v>
      </c>
      <c r="E59">
        <v>17174.14</v>
      </c>
      <c r="F59">
        <v>8.04323335646423E-2</v>
      </c>
      <c r="G59">
        <v>8.6371619248331477E-2</v>
      </c>
    </row>
    <row r="60" spans="1:7" x14ac:dyDescent="0.3">
      <c r="A60">
        <v>44162</v>
      </c>
      <c r="B60">
        <v>17287.419999999998</v>
      </c>
      <c r="C60">
        <v>16898.29</v>
      </c>
      <c r="D60">
        <v>17151.650000000001</v>
      </c>
      <c r="E60">
        <v>17121.39</v>
      </c>
      <c r="F60">
        <v>3.0714783971715898E-3</v>
      </c>
      <c r="G60">
        <v>2.671946484179788E-3</v>
      </c>
    </row>
    <row r="61" spans="1:7" x14ac:dyDescent="0.3">
      <c r="A61">
        <v>44163</v>
      </c>
      <c r="B61">
        <v>17920.45</v>
      </c>
      <c r="C61">
        <v>17447.02</v>
      </c>
      <c r="D61">
        <v>17121.39</v>
      </c>
      <c r="E61">
        <v>17710.63</v>
      </c>
      <c r="F61">
        <v>-3.4415430055620533E-2</v>
      </c>
      <c r="G61">
        <v>-3.6929244646608739E-2</v>
      </c>
    </row>
    <row r="62" spans="1:7" x14ac:dyDescent="0.3">
      <c r="A62">
        <v>44164</v>
      </c>
      <c r="B62">
        <v>18670.240000000002</v>
      </c>
      <c r="C62">
        <v>17710.63</v>
      </c>
      <c r="D62">
        <v>17710.63</v>
      </c>
      <c r="E62">
        <v>18291.64</v>
      </c>
      <c r="F62">
        <v>-3.2805721761450579E-2</v>
      </c>
      <c r="G62">
        <v>-5.0354095801037335E-2</v>
      </c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5E7F-1797-4A9A-A9C8-4C1DAC260B65}">
  <sheetPr codeName="Sheet23">
    <tabColor rgb="FFC6E0B4"/>
  </sheetPr>
  <dimension ref="A1:G99"/>
  <sheetViews>
    <sheetView workbookViewId="0"/>
  </sheetViews>
  <sheetFormatPr defaultRowHeight="14.4" x14ac:dyDescent="0.3"/>
  <cols>
    <col min="1" max="1" width="8.88671875" style="3"/>
    <col min="2" max="5" width="8.88671875" style="4"/>
    <col min="6" max="6" width="8.88671875" style="5"/>
    <col min="7" max="7" width="8.886718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44134</v>
      </c>
      <c r="B2">
        <v>0</v>
      </c>
      <c r="C2">
        <v>0</v>
      </c>
      <c r="D2">
        <v>0</v>
      </c>
      <c r="E2">
        <v>0</v>
      </c>
      <c r="F2"/>
      <c r="G2"/>
    </row>
    <row r="3" spans="1:7" x14ac:dyDescent="0.3">
      <c r="A3">
        <v>44134</v>
      </c>
      <c r="B3">
        <v>0</v>
      </c>
      <c r="C3">
        <v>0</v>
      </c>
      <c r="D3">
        <v>0</v>
      </c>
      <c r="E3">
        <v>0</v>
      </c>
      <c r="F3">
        <v>0</v>
      </c>
      <c r="G3">
        <v>-1.0476538823283477E-2</v>
      </c>
    </row>
    <row r="4" spans="1:7" x14ac:dyDescent="0.3">
      <c r="A4">
        <v>44134</v>
      </c>
      <c r="B4">
        <v>0</v>
      </c>
      <c r="C4">
        <v>0</v>
      </c>
      <c r="D4">
        <v>0</v>
      </c>
      <c r="E4">
        <v>0</v>
      </c>
      <c r="F4">
        <v>0</v>
      </c>
      <c r="G4">
        <v>-2.5803449078263707E-2</v>
      </c>
    </row>
    <row r="5" spans="1:7" x14ac:dyDescent="0.3">
      <c r="A5">
        <v>44134</v>
      </c>
      <c r="B5">
        <v>0</v>
      </c>
      <c r="C5">
        <v>0</v>
      </c>
      <c r="D5">
        <v>0</v>
      </c>
      <c r="E5">
        <v>0</v>
      </c>
      <c r="F5">
        <v>0</v>
      </c>
      <c r="G5">
        <v>3.3119092627599156E-2</v>
      </c>
    </row>
    <row r="6" spans="1:7" x14ac:dyDescent="0.3">
      <c r="A6">
        <v>44134</v>
      </c>
      <c r="B6">
        <v>0</v>
      </c>
      <c r="C6">
        <v>0</v>
      </c>
      <c r="D6">
        <v>0</v>
      </c>
      <c r="E6">
        <v>0</v>
      </c>
      <c r="F6">
        <v>0</v>
      </c>
      <c r="G6">
        <v>-1.191314095044449E-2</v>
      </c>
    </row>
    <row r="7" spans="1:7" x14ac:dyDescent="0.3">
      <c r="A7">
        <v>44134</v>
      </c>
      <c r="B7">
        <v>0</v>
      </c>
      <c r="C7">
        <v>0</v>
      </c>
      <c r="D7">
        <v>0</v>
      </c>
      <c r="E7">
        <v>0</v>
      </c>
      <c r="F7">
        <v>0</v>
      </c>
      <c r="G7">
        <v>-3.730228244628786E-2</v>
      </c>
    </row>
    <row r="8" spans="1:7" x14ac:dyDescent="0.3">
      <c r="A8">
        <v>44134</v>
      </c>
      <c r="B8">
        <v>0</v>
      </c>
      <c r="C8">
        <v>0</v>
      </c>
      <c r="D8">
        <v>0</v>
      </c>
      <c r="E8">
        <v>0</v>
      </c>
      <c r="F8">
        <v>0</v>
      </c>
      <c r="G8">
        <v>-3.5339989072666667E-2</v>
      </c>
    </row>
    <row r="9" spans="1:7" x14ac:dyDescent="0.3">
      <c r="A9">
        <v>44134</v>
      </c>
      <c r="B9">
        <v>0</v>
      </c>
      <c r="C9">
        <v>0</v>
      </c>
      <c r="D9">
        <v>0</v>
      </c>
      <c r="E9">
        <v>0</v>
      </c>
      <c r="F9">
        <v>0</v>
      </c>
      <c r="G9">
        <v>-9.4581304420830348E-2</v>
      </c>
    </row>
    <row r="10" spans="1:7" x14ac:dyDescent="0.3">
      <c r="A10">
        <v>44134</v>
      </c>
      <c r="B10">
        <v>0</v>
      </c>
      <c r="C10">
        <v>0</v>
      </c>
      <c r="D10">
        <v>0</v>
      </c>
      <c r="E10">
        <v>0</v>
      </c>
      <c r="F10">
        <v>0</v>
      </c>
      <c r="G10">
        <v>4.4924614305750343E-2</v>
      </c>
    </row>
    <row r="11" spans="1:7" x14ac:dyDescent="0.3">
      <c r="A11">
        <v>44134</v>
      </c>
      <c r="B11">
        <v>0</v>
      </c>
      <c r="C11">
        <v>0</v>
      </c>
      <c r="D11">
        <v>0</v>
      </c>
      <c r="E11">
        <v>0</v>
      </c>
      <c r="F11">
        <v>0</v>
      </c>
      <c r="G11">
        <v>-4.3412417970721817E-2</v>
      </c>
    </row>
    <row r="12" spans="1:7" x14ac:dyDescent="0.3">
      <c r="A12">
        <v>44134</v>
      </c>
      <c r="B12">
        <v>0</v>
      </c>
      <c r="C12">
        <v>0</v>
      </c>
      <c r="D12">
        <v>0</v>
      </c>
      <c r="E12">
        <v>0</v>
      </c>
      <c r="F12">
        <v>0</v>
      </c>
      <c r="G12">
        <v>2.2628315081145267E-2</v>
      </c>
    </row>
    <row r="13" spans="1:7" x14ac:dyDescent="0.3">
      <c r="A13">
        <v>44134</v>
      </c>
      <c r="B13">
        <v>0</v>
      </c>
      <c r="C13">
        <v>0</v>
      </c>
      <c r="D13">
        <v>0</v>
      </c>
      <c r="E13">
        <v>0</v>
      </c>
      <c r="F13">
        <v>0</v>
      </c>
      <c r="G13">
        <v>-1.4422319721003607E-2</v>
      </c>
    </row>
    <row r="14" spans="1:7" x14ac:dyDescent="0.3">
      <c r="A14">
        <v>44134</v>
      </c>
      <c r="B14">
        <v>0</v>
      </c>
      <c r="C14">
        <v>0</v>
      </c>
      <c r="D14">
        <v>0</v>
      </c>
      <c r="E14">
        <v>0</v>
      </c>
      <c r="F14">
        <v>0</v>
      </c>
      <c r="G14">
        <v>-2.8944683493767442E-2</v>
      </c>
    </row>
    <row r="15" spans="1:7" x14ac:dyDescent="0.3">
      <c r="A15">
        <v>44134</v>
      </c>
      <c r="B15">
        <v>0</v>
      </c>
      <c r="C15">
        <v>0</v>
      </c>
      <c r="D15">
        <v>0</v>
      </c>
      <c r="E15">
        <v>0</v>
      </c>
      <c r="F15">
        <v>0</v>
      </c>
      <c r="G15">
        <v>2.4358172921472576E-3</v>
      </c>
    </row>
    <row r="16" spans="1:7" x14ac:dyDescent="0.3">
      <c r="A16">
        <v>44134</v>
      </c>
      <c r="B16">
        <v>0</v>
      </c>
      <c r="C16">
        <v>0</v>
      </c>
      <c r="D16">
        <v>0</v>
      </c>
      <c r="E16">
        <v>0</v>
      </c>
      <c r="F16">
        <v>0</v>
      </c>
      <c r="G16">
        <v>-3.0446432430096371E-2</v>
      </c>
    </row>
    <row r="17" spans="1:7" x14ac:dyDescent="0.3">
      <c r="A17">
        <v>44134</v>
      </c>
      <c r="B17">
        <v>0</v>
      </c>
      <c r="C17">
        <v>0</v>
      </c>
      <c r="D17">
        <v>0</v>
      </c>
      <c r="E17">
        <v>0</v>
      </c>
      <c r="F17">
        <v>0</v>
      </c>
      <c r="G17">
        <v>3.3216599911925715E-2</v>
      </c>
    </row>
    <row r="18" spans="1:7" x14ac:dyDescent="0.3">
      <c r="A18">
        <v>44134</v>
      </c>
      <c r="B18">
        <v>0</v>
      </c>
      <c r="C18">
        <v>0</v>
      </c>
      <c r="D18">
        <v>0</v>
      </c>
      <c r="E18">
        <v>0</v>
      </c>
      <c r="F18">
        <v>0</v>
      </c>
      <c r="G18">
        <v>2.7156584170227482E-2</v>
      </c>
    </row>
    <row r="19" spans="1:7" x14ac:dyDescent="0.3">
      <c r="A19">
        <v>44134</v>
      </c>
      <c r="B19">
        <v>0</v>
      </c>
      <c r="C19">
        <v>0</v>
      </c>
      <c r="D19">
        <v>0</v>
      </c>
      <c r="E19">
        <v>0</v>
      </c>
      <c r="F19">
        <v>0</v>
      </c>
      <c r="G19">
        <v>-2.7870058638603368E-2</v>
      </c>
    </row>
    <row r="20" spans="1:7" x14ac:dyDescent="0.3">
      <c r="A20">
        <v>44134</v>
      </c>
      <c r="B20">
        <v>0</v>
      </c>
      <c r="C20">
        <v>0</v>
      </c>
      <c r="D20">
        <v>0</v>
      </c>
      <c r="E20">
        <v>0</v>
      </c>
      <c r="F20">
        <v>0</v>
      </c>
      <c r="G20">
        <v>-4.7070562460684195E-2</v>
      </c>
    </row>
    <row r="21" spans="1:7" x14ac:dyDescent="0.3">
      <c r="A21">
        <v>44134</v>
      </c>
      <c r="B21">
        <v>0</v>
      </c>
      <c r="C21">
        <v>0</v>
      </c>
      <c r="D21">
        <v>0</v>
      </c>
      <c r="E21">
        <v>0</v>
      </c>
      <c r="F21">
        <v>0</v>
      </c>
      <c r="G21">
        <v>8.1829669988191522E-3</v>
      </c>
    </row>
    <row r="22" spans="1:7" x14ac:dyDescent="0.3">
      <c r="A22">
        <v>44134</v>
      </c>
      <c r="B22">
        <v>0</v>
      </c>
      <c r="C22">
        <v>0</v>
      </c>
      <c r="D22">
        <v>0</v>
      </c>
      <c r="E22">
        <v>0</v>
      </c>
      <c r="F22">
        <v>0</v>
      </c>
      <c r="G22">
        <v>1.4495780766981325E-2</v>
      </c>
    </row>
    <row r="23" spans="1:7" x14ac:dyDescent="0.3">
      <c r="A23">
        <v>44134</v>
      </c>
      <c r="B23">
        <v>0</v>
      </c>
      <c r="C23">
        <v>0</v>
      </c>
      <c r="D23">
        <v>0</v>
      </c>
      <c r="E23">
        <v>0</v>
      </c>
      <c r="F23">
        <v>0</v>
      </c>
      <c r="G23">
        <v>-8.1832054597092085E-2</v>
      </c>
    </row>
    <row r="24" spans="1:7" x14ac:dyDescent="0.3">
      <c r="A24">
        <v>44134</v>
      </c>
      <c r="B24">
        <v>0</v>
      </c>
      <c r="C24">
        <v>0</v>
      </c>
      <c r="D24">
        <v>0</v>
      </c>
      <c r="E24">
        <v>0</v>
      </c>
      <c r="F24">
        <v>0</v>
      </c>
      <c r="G24">
        <v>-8.195051231314765E-2</v>
      </c>
    </row>
    <row r="25" spans="1:7" x14ac:dyDescent="0.3">
      <c r="A25">
        <v>44134</v>
      </c>
      <c r="B25">
        <v>0</v>
      </c>
      <c r="C25">
        <v>0</v>
      </c>
      <c r="D25">
        <v>0</v>
      </c>
      <c r="E25">
        <v>0</v>
      </c>
      <c r="F25">
        <v>0</v>
      </c>
      <c r="G25">
        <v>-1.4033245210589129E-2</v>
      </c>
    </row>
    <row r="26" spans="1:7" x14ac:dyDescent="0.3">
      <c r="A26">
        <v>44134</v>
      </c>
      <c r="B26">
        <v>0</v>
      </c>
      <c r="C26">
        <v>0</v>
      </c>
      <c r="D26">
        <v>0</v>
      </c>
      <c r="E26">
        <v>0</v>
      </c>
      <c r="F26">
        <v>0</v>
      </c>
      <c r="G26">
        <v>-8.7712719415724782E-2</v>
      </c>
    </row>
    <row r="27" spans="1:7" x14ac:dyDescent="0.3">
      <c r="A27">
        <v>44134</v>
      </c>
      <c r="B27">
        <v>0</v>
      </c>
      <c r="C27">
        <v>0</v>
      </c>
      <c r="D27">
        <v>0</v>
      </c>
      <c r="E27">
        <v>0</v>
      </c>
      <c r="F27">
        <v>0</v>
      </c>
      <c r="G27">
        <v>6.8129955838654999E-3</v>
      </c>
    </row>
    <row r="28" spans="1:7" x14ac:dyDescent="0.3">
      <c r="A28">
        <v>44134</v>
      </c>
      <c r="B28">
        <v>0</v>
      </c>
      <c r="C28">
        <v>0</v>
      </c>
      <c r="D28">
        <v>0</v>
      </c>
      <c r="E28">
        <v>0</v>
      </c>
      <c r="F28">
        <v>0</v>
      </c>
      <c r="G28">
        <v>5.8811861549142197E-2</v>
      </c>
    </row>
    <row r="29" spans="1:7" x14ac:dyDescent="0.3">
      <c r="A29">
        <v>44134</v>
      </c>
      <c r="B29">
        <v>0</v>
      </c>
      <c r="C29">
        <v>0</v>
      </c>
      <c r="D29">
        <v>0</v>
      </c>
      <c r="E29">
        <v>0</v>
      </c>
      <c r="F29">
        <v>0</v>
      </c>
      <c r="G29">
        <v>8.6371619248331477E-2</v>
      </c>
    </row>
    <row r="30" spans="1:7" x14ac:dyDescent="0.3">
      <c r="A30">
        <v>44134</v>
      </c>
      <c r="B30">
        <v>0</v>
      </c>
      <c r="C30">
        <v>0</v>
      </c>
      <c r="D30">
        <v>0</v>
      </c>
      <c r="E30">
        <v>0</v>
      </c>
      <c r="F30">
        <v>0</v>
      </c>
      <c r="G30">
        <v>2.671946484179788E-3</v>
      </c>
    </row>
    <row r="31" spans="1:7" x14ac:dyDescent="0.3">
      <c r="A31">
        <v>44134</v>
      </c>
      <c r="B31">
        <v>0</v>
      </c>
      <c r="C31">
        <v>0</v>
      </c>
      <c r="D31">
        <v>0</v>
      </c>
      <c r="E31">
        <v>0</v>
      </c>
      <c r="F31">
        <v>0</v>
      </c>
      <c r="G31">
        <v>-3.6929244646608739E-2</v>
      </c>
    </row>
    <row r="32" spans="1:7" x14ac:dyDescent="0.3">
      <c r="A32">
        <v>44134</v>
      </c>
      <c r="B32">
        <v>0</v>
      </c>
      <c r="C32">
        <v>0</v>
      </c>
      <c r="D32">
        <v>0</v>
      </c>
      <c r="E32">
        <v>0</v>
      </c>
      <c r="F32">
        <v>0</v>
      </c>
      <c r="G32">
        <v>-3.5465343221993129E-2</v>
      </c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A713E-FA5E-43AD-B137-7818E865E6F9}">
  <sheetPr codeName="Sheet3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44134</v>
      </c>
      <c r="B2">
        <v>0</v>
      </c>
      <c r="C2">
        <v>0</v>
      </c>
      <c r="D2">
        <v>0</v>
      </c>
      <c r="E2">
        <v>0</v>
      </c>
      <c r="F2"/>
      <c r="G2"/>
    </row>
    <row r="3" spans="1:7" x14ac:dyDescent="0.3">
      <c r="A3">
        <v>44134</v>
      </c>
      <c r="B3">
        <v>0</v>
      </c>
      <c r="C3">
        <v>0</v>
      </c>
      <c r="D3">
        <v>0</v>
      </c>
      <c r="E3">
        <v>0</v>
      </c>
      <c r="F3">
        <v>0</v>
      </c>
      <c r="G3">
        <v>-1.0476538823283477E-2</v>
      </c>
    </row>
    <row r="4" spans="1:7" x14ac:dyDescent="0.3">
      <c r="A4">
        <v>44134</v>
      </c>
      <c r="B4">
        <v>0</v>
      </c>
      <c r="C4">
        <v>0</v>
      </c>
      <c r="D4">
        <v>0</v>
      </c>
      <c r="E4">
        <v>0</v>
      </c>
      <c r="F4">
        <v>0</v>
      </c>
      <c r="G4">
        <v>-2.5803449078263707E-2</v>
      </c>
    </row>
    <row r="5" spans="1:7" x14ac:dyDescent="0.3">
      <c r="A5">
        <v>44134</v>
      </c>
      <c r="B5">
        <v>0</v>
      </c>
      <c r="C5">
        <v>0</v>
      </c>
      <c r="D5">
        <v>0</v>
      </c>
      <c r="E5">
        <v>0</v>
      </c>
      <c r="F5">
        <v>0</v>
      </c>
      <c r="G5">
        <v>3.3119092627599156E-2</v>
      </c>
    </row>
    <row r="6" spans="1:7" x14ac:dyDescent="0.3">
      <c r="A6">
        <v>44134</v>
      </c>
      <c r="B6">
        <v>0</v>
      </c>
      <c r="C6">
        <v>0</v>
      </c>
      <c r="D6">
        <v>0</v>
      </c>
      <c r="E6">
        <v>0</v>
      </c>
      <c r="F6">
        <v>0</v>
      </c>
      <c r="G6">
        <v>-1.191314095044449E-2</v>
      </c>
    </row>
    <row r="7" spans="1:7" x14ac:dyDescent="0.3">
      <c r="A7">
        <v>44134</v>
      </c>
      <c r="B7">
        <v>0</v>
      </c>
      <c r="C7">
        <v>0</v>
      </c>
      <c r="D7">
        <v>0</v>
      </c>
      <c r="E7">
        <v>0</v>
      </c>
      <c r="F7">
        <v>0</v>
      </c>
      <c r="G7">
        <v>-3.730228244628786E-2</v>
      </c>
    </row>
    <row r="8" spans="1:7" x14ac:dyDescent="0.3">
      <c r="A8">
        <v>44134</v>
      </c>
      <c r="B8">
        <v>0</v>
      </c>
      <c r="C8">
        <v>0</v>
      </c>
      <c r="D8">
        <v>0</v>
      </c>
      <c r="E8">
        <v>0</v>
      </c>
      <c r="F8">
        <v>0</v>
      </c>
      <c r="G8">
        <v>-3.5339989072666667E-2</v>
      </c>
    </row>
    <row r="9" spans="1:7" x14ac:dyDescent="0.3">
      <c r="A9">
        <v>44134</v>
      </c>
      <c r="B9">
        <v>0</v>
      </c>
      <c r="C9">
        <v>0</v>
      </c>
      <c r="D9">
        <v>0</v>
      </c>
      <c r="E9">
        <v>0</v>
      </c>
      <c r="F9">
        <v>0</v>
      </c>
      <c r="G9">
        <v>-9.4581304420830348E-2</v>
      </c>
    </row>
    <row r="10" spans="1:7" x14ac:dyDescent="0.3">
      <c r="A10">
        <v>44134</v>
      </c>
      <c r="B10">
        <v>0</v>
      </c>
      <c r="C10">
        <v>0</v>
      </c>
      <c r="D10">
        <v>0</v>
      </c>
      <c r="E10">
        <v>0</v>
      </c>
      <c r="F10">
        <v>0</v>
      </c>
      <c r="G10">
        <v>4.4924614305750343E-2</v>
      </c>
    </row>
    <row r="11" spans="1:7" x14ac:dyDescent="0.3">
      <c r="A11">
        <v>44134</v>
      </c>
      <c r="B11">
        <v>0</v>
      </c>
      <c r="C11">
        <v>0</v>
      </c>
      <c r="D11">
        <v>0</v>
      </c>
      <c r="E11">
        <v>0</v>
      </c>
      <c r="F11">
        <v>0</v>
      </c>
      <c r="G11">
        <v>-4.3412417970721817E-2</v>
      </c>
    </row>
    <row r="12" spans="1:7" x14ac:dyDescent="0.3">
      <c r="A12">
        <v>44134</v>
      </c>
      <c r="B12">
        <v>0</v>
      </c>
      <c r="C12">
        <v>0</v>
      </c>
      <c r="D12">
        <v>0</v>
      </c>
      <c r="E12">
        <v>0</v>
      </c>
      <c r="F12">
        <v>0</v>
      </c>
      <c r="G12">
        <v>2.2628315081145267E-2</v>
      </c>
    </row>
    <row r="13" spans="1:7" x14ac:dyDescent="0.3">
      <c r="A13">
        <v>44134</v>
      </c>
      <c r="B13">
        <v>0</v>
      </c>
      <c r="C13">
        <v>0</v>
      </c>
      <c r="D13">
        <v>0</v>
      </c>
      <c r="E13">
        <v>0</v>
      </c>
      <c r="F13">
        <v>0</v>
      </c>
      <c r="G13">
        <v>-1.4422319721003607E-2</v>
      </c>
    </row>
    <row r="14" spans="1:7" x14ac:dyDescent="0.3">
      <c r="A14">
        <v>44134</v>
      </c>
      <c r="B14">
        <v>0</v>
      </c>
      <c r="C14">
        <v>0</v>
      </c>
      <c r="D14">
        <v>0</v>
      </c>
      <c r="E14">
        <v>0</v>
      </c>
      <c r="F14">
        <v>0</v>
      </c>
      <c r="G14">
        <v>-2.8944683493767442E-2</v>
      </c>
    </row>
    <row r="15" spans="1:7" x14ac:dyDescent="0.3">
      <c r="A15">
        <v>44134</v>
      </c>
      <c r="B15">
        <v>0</v>
      </c>
      <c r="C15">
        <v>0</v>
      </c>
      <c r="D15">
        <v>0</v>
      </c>
      <c r="E15">
        <v>0</v>
      </c>
      <c r="F15">
        <v>0</v>
      </c>
      <c r="G15">
        <v>2.4358172921472576E-3</v>
      </c>
    </row>
    <row r="16" spans="1:7" x14ac:dyDescent="0.3">
      <c r="A16">
        <v>44134</v>
      </c>
      <c r="B16">
        <v>0</v>
      </c>
      <c r="C16">
        <v>0</v>
      </c>
      <c r="D16">
        <v>0</v>
      </c>
      <c r="E16">
        <v>0</v>
      </c>
      <c r="F16">
        <v>0</v>
      </c>
      <c r="G16">
        <v>-3.0446432430096371E-2</v>
      </c>
    </row>
    <row r="17" spans="1:7" x14ac:dyDescent="0.3">
      <c r="A17">
        <v>44134</v>
      </c>
      <c r="B17">
        <v>0</v>
      </c>
      <c r="C17">
        <v>0</v>
      </c>
      <c r="D17">
        <v>0</v>
      </c>
      <c r="E17">
        <v>0</v>
      </c>
      <c r="F17">
        <v>0</v>
      </c>
      <c r="G17">
        <v>3.3216599911925715E-2</v>
      </c>
    </row>
    <row r="18" spans="1:7" x14ac:dyDescent="0.3">
      <c r="A18">
        <v>44134</v>
      </c>
      <c r="B18">
        <v>0</v>
      </c>
      <c r="C18">
        <v>0</v>
      </c>
      <c r="D18">
        <v>0</v>
      </c>
      <c r="E18">
        <v>0</v>
      </c>
      <c r="F18">
        <v>0</v>
      </c>
      <c r="G18">
        <v>2.7156584170227482E-2</v>
      </c>
    </row>
    <row r="19" spans="1:7" x14ac:dyDescent="0.3">
      <c r="A19">
        <v>44134</v>
      </c>
      <c r="B19">
        <v>0</v>
      </c>
      <c r="C19">
        <v>0</v>
      </c>
      <c r="D19">
        <v>0</v>
      </c>
      <c r="E19">
        <v>0</v>
      </c>
      <c r="F19">
        <v>0</v>
      </c>
      <c r="G19">
        <v>-2.7870058638603368E-2</v>
      </c>
    </row>
    <row r="20" spans="1:7" x14ac:dyDescent="0.3">
      <c r="A20">
        <v>44134</v>
      </c>
      <c r="B20">
        <v>0</v>
      </c>
      <c r="C20">
        <v>0</v>
      </c>
      <c r="D20">
        <v>0</v>
      </c>
      <c r="E20">
        <v>0</v>
      </c>
      <c r="F20">
        <v>0</v>
      </c>
      <c r="G20">
        <v>-4.7070562460684195E-2</v>
      </c>
    </row>
    <row r="21" spans="1:7" x14ac:dyDescent="0.3">
      <c r="A21">
        <v>44134</v>
      </c>
      <c r="B21">
        <v>0</v>
      </c>
      <c r="C21">
        <v>0</v>
      </c>
      <c r="D21">
        <v>0</v>
      </c>
      <c r="E21">
        <v>0</v>
      </c>
      <c r="F21">
        <v>0</v>
      </c>
      <c r="G21">
        <v>8.1829669988191522E-3</v>
      </c>
    </row>
    <row r="22" spans="1:7" x14ac:dyDescent="0.3">
      <c r="A22">
        <v>44134</v>
      </c>
      <c r="B22">
        <v>0</v>
      </c>
      <c r="C22">
        <v>0</v>
      </c>
      <c r="D22">
        <v>0</v>
      </c>
      <c r="E22">
        <v>0</v>
      </c>
      <c r="F22">
        <v>0</v>
      </c>
      <c r="G22">
        <v>1.4495780766981325E-2</v>
      </c>
    </row>
    <row r="23" spans="1:7" x14ac:dyDescent="0.3">
      <c r="A23">
        <v>44134</v>
      </c>
      <c r="B23">
        <v>0</v>
      </c>
      <c r="C23">
        <v>0</v>
      </c>
      <c r="D23">
        <v>0</v>
      </c>
      <c r="E23">
        <v>0</v>
      </c>
      <c r="F23">
        <v>0</v>
      </c>
      <c r="G23">
        <v>-8.1832054597092085E-2</v>
      </c>
    </row>
    <row r="24" spans="1:7" x14ac:dyDescent="0.3">
      <c r="A24">
        <v>44134</v>
      </c>
      <c r="B24">
        <v>0</v>
      </c>
      <c r="C24">
        <v>0</v>
      </c>
      <c r="D24">
        <v>0</v>
      </c>
      <c r="E24">
        <v>0</v>
      </c>
      <c r="F24">
        <v>0</v>
      </c>
      <c r="G24">
        <v>-8.195051231314765E-2</v>
      </c>
    </row>
    <row r="25" spans="1:7" x14ac:dyDescent="0.3">
      <c r="A25">
        <v>44134</v>
      </c>
      <c r="B25">
        <v>0</v>
      </c>
      <c r="C25">
        <v>0</v>
      </c>
      <c r="D25">
        <v>0</v>
      </c>
      <c r="E25">
        <v>0</v>
      </c>
      <c r="F25">
        <v>0</v>
      </c>
      <c r="G25">
        <v>-1.4033245210589129E-2</v>
      </c>
    </row>
    <row r="26" spans="1:7" x14ac:dyDescent="0.3">
      <c r="A26">
        <v>44134</v>
      </c>
      <c r="B26">
        <v>0</v>
      </c>
      <c r="C26">
        <v>0</v>
      </c>
      <c r="D26">
        <v>0</v>
      </c>
      <c r="E26">
        <v>0</v>
      </c>
      <c r="F26">
        <v>0</v>
      </c>
      <c r="G26">
        <v>-8.7712719415724782E-2</v>
      </c>
    </row>
    <row r="27" spans="1:7" x14ac:dyDescent="0.3">
      <c r="A27">
        <v>44134</v>
      </c>
      <c r="B27">
        <v>0</v>
      </c>
      <c r="C27">
        <v>0</v>
      </c>
      <c r="D27">
        <v>0</v>
      </c>
      <c r="E27">
        <v>0</v>
      </c>
      <c r="F27">
        <v>0</v>
      </c>
      <c r="G27">
        <v>6.8129955838654999E-3</v>
      </c>
    </row>
    <row r="28" spans="1:7" x14ac:dyDescent="0.3">
      <c r="A28">
        <v>44134</v>
      </c>
      <c r="B28">
        <v>0</v>
      </c>
      <c r="C28">
        <v>0</v>
      </c>
      <c r="D28">
        <v>0</v>
      </c>
      <c r="E28">
        <v>0</v>
      </c>
      <c r="F28">
        <v>0</v>
      </c>
      <c r="G28">
        <v>5.8811861549142197E-2</v>
      </c>
    </row>
    <row r="29" spans="1:7" x14ac:dyDescent="0.3">
      <c r="A29">
        <v>44134</v>
      </c>
      <c r="B29">
        <v>0</v>
      </c>
      <c r="C29">
        <v>0</v>
      </c>
      <c r="D29">
        <v>0</v>
      </c>
      <c r="E29">
        <v>0</v>
      </c>
      <c r="F29">
        <v>0</v>
      </c>
      <c r="G29">
        <v>8.6371619248331477E-2</v>
      </c>
    </row>
    <row r="30" spans="1:7" x14ac:dyDescent="0.3">
      <c r="A30">
        <v>44134</v>
      </c>
      <c r="B30">
        <v>0</v>
      </c>
      <c r="C30">
        <v>0</v>
      </c>
      <c r="D30">
        <v>0</v>
      </c>
      <c r="E30">
        <v>0</v>
      </c>
      <c r="F30">
        <v>0</v>
      </c>
      <c r="G30">
        <v>2.671946484179788E-3</v>
      </c>
    </row>
    <row r="31" spans="1:7" x14ac:dyDescent="0.3">
      <c r="A31">
        <v>44134</v>
      </c>
      <c r="B31">
        <v>0</v>
      </c>
      <c r="C31">
        <v>0</v>
      </c>
      <c r="D31">
        <v>0</v>
      </c>
      <c r="E31">
        <v>0</v>
      </c>
      <c r="F31">
        <v>0</v>
      </c>
      <c r="G31">
        <v>-3.6929244646608739E-2</v>
      </c>
    </row>
    <row r="32" spans="1:7" x14ac:dyDescent="0.3">
      <c r="A32">
        <v>44134</v>
      </c>
      <c r="B32">
        <v>0</v>
      </c>
      <c r="C32">
        <v>0</v>
      </c>
      <c r="D32">
        <v>0</v>
      </c>
      <c r="E32">
        <v>0</v>
      </c>
      <c r="F32">
        <v>0</v>
      </c>
      <c r="G32">
        <v>-3.5465343221993129E-2</v>
      </c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CA2CD-9F1E-4C5A-AEAF-A77D995E2C1A}">
  <sheetPr codeName="Sheet4">
    <tabColor rgb="FFC6E0B4"/>
  </sheetPr>
  <dimension ref="A1:G99"/>
  <sheetViews>
    <sheetView workbookViewId="0"/>
  </sheetViews>
  <sheetFormatPr defaultRowHeight="14.4" x14ac:dyDescent="0.3"/>
  <cols>
    <col min="1" max="1" width="8.77734375" style="3"/>
    <col min="2" max="5" width="8.77734375" style="4"/>
    <col min="6" max="6" width="8.77734375" style="5"/>
    <col min="7" max="7" width="8.77734375" style="4"/>
  </cols>
  <sheetData>
    <row r="1" spans="1:7" x14ac:dyDescent="0.3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">
      <c r="A2">
        <v>44104</v>
      </c>
      <c r="B2">
        <v>1.3380000000000001</v>
      </c>
      <c r="C2">
        <v>1.2470000000000001</v>
      </c>
      <c r="D2">
        <v>1.2549999999999999</v>
      </c>
      <c r="E2">
        <v>1.2809999999999999</v>
      </c>
      <c r="F2"/>
      <c r="G2"/>
    </row>
    <row r="3" spans="1:7" x14ac:dyDescent="0.3">
      <c r="A3">
        <v>44105</v>
      </c>
      <c r="B3">
        <v>1.302</v>
      </c>
      <c r="C3">
        <v>1.2290000000000001</v>
      </c>
      <c r="D3">
        <v>1.2809999999999999</v>
      </c>
      <c r="E3">
        <v>1.2529999999999999</v>
      </c>
      <c r="F3">
        <v>2.1857923497267784E-2</v>
      </c>
      <c r="G3">
        <v>1.8370296259240804E-2</v>
      </c>
    </row>
    <row r="4" spans="1:7" x14ac:dyDescent="0.3">
      <c r="A4">
        <v>44106</v>
      </c>
      <c r="B4">
        <v>1.234</v>
      </c>
      <c r="C4">
        <v>1.089</v>
      </c>
      <c r="D4">
        <v>1.2529999999999999</v>
      </c>
      <c r="E4">
        <v>1.1140000000000001</v>
      </c>
      <c r="F4">
        <v>0.11093375897845159</v>
      </c>
      <c r="G4">
        <v>2.0894085671413598E-2</v>
      </c>
    </row>
    <row r="5" spans="1:7" x14ac:dyDescent="0.3">
      <c r="A5">
        <v>44107</v>
      </c>
      <c r="B5">
        <v>1.1240000000000001</v>
      </c>
      <c r="C5">
        <v>1.0529999999999999</v>
      </c>
      <c r="D5">
        <v>1.1140000000000001</v>
      </c>
      <c r="E5">
        <v>1.0569999999999999</v>
      </c>
      <c r="F5">
        <v>5.116696588868952E-2</v>
      </c>
      <c r="G5">
        <v>-1.4168811265651282E-3</v>
      </c>
    </row>
    <row r="6" spans="1:7" x14ac:dyDescent="0.3">
      <c r="A6">
        <v>44108</v>
      </c>
      <c r="B6">
        <v>1.085</v>
      </c>
      <c r="C6">
        <v>0.86399999999999999</v>
      </c>
      <c r="D6">
        <v>1.0569999999999999</v>
      </c>
      <c r="E6">
        <v>0.87849999999999995</v>
      </c>
      <c r="F6">
        <v>0.16887417218543044</v>
      </c>
      <c r="G6">
        <v>-1.816239316239332E-2</v>
      </c>
    </row>
    <row r="7" spans="1:7" x14ac:dyDescent="0.3">
      <c r="A7">
        <v>44109</v>
      </c>
      <c r="B7">
        <v>0.93799999999999994</v>
      </c>
      <c r="C7">
        <v>0.83609999999999995</v>
      </c>
      <c r="D7">
        <v>0.87849999999999995</v>
      </c>
      <c r="E7">
        <v>0.84640000000000004</v>
      </c>
      <c r="F7">
        <v>3.6539556061468303E-2</v>
      </c>
      <c r="G7">
        <v>-3.2613936076684169E-3</v>
      </c>
    </row>
    <row r="8" spans="1:7" x14ac:dyDescent="0.3">
      <c r="A8">
        <v>44110</v>
      </c>
      <c r="B8">
        <v>0.81869999999999998</v>
      </c>
      <c r="C8">
        <v>0.63060000000000005</v>
      </c>
      <c r="D8">
        <v>0.84640000000000004</v>
      </c>
      <c r="E8">
        <v>0.63839999999999997</v>
      </c>
      <c r="F8">
        <v>0.2457466918714557</v>
      </c>
      <c r="G8">
        <v>3.6493668023518722E-2</v>
      </c>
    </row>
    <row r="9" spans="1:7" x14ac:dyDescent="0.3">
      <c r="A9">
        <v>44111</v>
      </c>
      <c r="B9">
        <v>0.6643</v>
      </c>
      <c r="C9">
        <v>0.5665</v>
      </c>
      <c r="D9">
        <v>0.63839999999999997</v>
      </c>
      <c r="E9">
        <v>0.66300000000000003</v>
      </c>
      <c r="F9">
        <v>-3.8533834586466309E-2</v>
      </c>
      <c r="G9">
        <v>-3.1098723778788528E-3</v>
      </c>
    </row>
    <row r="10" spans="1:7" x14ac:dyDescent="0.3">
      <c r="A10">
        <v>44112</v>
      </c>
      <c r="B10">
        <v>0.79369999999999996</v>
      </c>
      <c r="C10">
        <v>0.62829999999999997</v>
      </c>
      <c r="D10">
        <v>0.66300000000000003</v>
      </c>
      <c r="E10">
        <v>0.77400000000000002</v>
      </c>
      <c r="F10">
        <v>-0.16742081447963808</v>
      </c>
      <c r="G10">
        <v>-2.7170892925038714E-2</v>
      </c>
    </row>
    <row r="11" spans="1:7" x14ac:dyDescent="0.3">
      <c r="A11">
        <v>44113</v>
      </c>
      <c r="B11">
        <v>0.87219999999999998</v>
      </c>
      <c r="C11">
        <v>0.77390000000000003</v>
      </c>
      <c r="D11">
        <v>0.77400000000000002</v>
      </c>
      <c r="E11">
        <v>0.82440000000000002</v>
      </c>
      <c r="F11">
        <v>-6.5116279069767469E-2</v>
      </c>
      <c r="G11">
        <v>-4.0461275626423765E-2</v>
      </c>
    </row>
    <row r="12" spans="1:7" x14ac:dyDescent="0.3">
      <c r="A12">
        <v>44114</v>
      </c>
      <c r="B12">
        <v>0.85270000000000001</v>
      </c>
      <c r="C12">
        <v>0.73099999999999998</v>
      </c>
      <c r="D12">
        <v>0.82440000000000002</v>
      </c>
      <c r="E12">
        <v>0.74919999999999998</v>
      </c>
      <c r="F12">
        <v>9.1217855409995163E-2</v>
      </c>
      <c r="G12">
        <v>-1.4969486330423276E-2</v>
      </c>
    </row>
    <row r="13" spans="1:7" x14ac:dyDescent="0.3">
      <c r="A13">
        <v>44115</v>
      </c>
      <c r="B13">
        <v>0.78139999999999998</v>
      </c>
      <c r="C13">
        <v>0.70569999999999999</v>
      </c>
      <c r="D13">
        <v>0.74919999999999998</v>
      </c>
      <c r="E13">
        <v>0.76039999999999996</v>
      </c>
      <c r="F13">
        <v>-1.4949279231179835E-2</v>
      </c>
      <c r="G13">
        <v>-9.4100517687663032E-3</v>
      </c>
    </row>
    <row r="14" spans="1:7" x14ac:dyDescent="0.3">
      <c r="A14">
        <v>44116</v>
      </c>
      <c r="B14">
        <v>0.84230000000000005</v>
      </c>
      <c r="C14">
        <v>0.75370000000000004</v>
      </c>
      <c r="D14">
        <v>0.76039999999999996</v>
      </c>
      <c r="E14">
        <v>0.76259999999999994</v>
      </c>
      <c r="F14">
        <v>-2.8932140978432663E-3</v>
      </c>
      <c r="G14">
        <v>-3.3496273739882954E-2</v>
      </c>
    </row>
    <row r="15" spans="1:7" x14ac:dyDescent="0.3">
      <c r="A15">
        <v>44117</v>
      </c>
      <c r="B15">
        <v>1.105</v>
      </c>
      <c r="C15">
        <v>0.72160000000000002</v>
      </c>
      <c r="D15">
        <v>0.76259999999999994</v>
      </c>
      <c r="E15">
        <v>0.73650000000000004</v>
      </c>
      <c r="F15">
        <v>3.4225019669551382E-2</v>
      </c>
      <c r="G15">
        <v>1.421519216355227E-2</v>
      </c>
    </row>
    <row r="16" spans="1:7" x14ac:dyDescent="0.3">
      <c r="A16">
        <v>44118</v>
      </c>
      <c r="B16">
        <v>0.7581</v>
      </c>
      <c r="C16">
        <v>0.70499999999999996</v>
      </c>
      <c r="D16">
        <v>0.73650000000000004</v>
      </c>
      <c r="E16">
        <v>0.72019999999999995</v>
      </c>
      <c r="F16">
        <v>2.2131704005431185E-2</v>
      </c>
      <c r="G16">
        <v>6.0302561547941336E-3</v>
      </c>
    </row>
    <row r="17" spans="1:7" x14ac:dyDescent="0.3">
      <c r="A17">
        <v>44119</v>
      </c>
      <c r="B17">
        <v>0.71789999999999998</v>
      </c>
      <c r="C17">
        <v>0.68010000000000004</v>
      </c>
      <c r="D17">
        <v>0.72019999999999995</v>
      </c>
      <c r="E17">
        <v>0.70269999999999999</v>
      </c>
      <c r="F17">
        <v>2.4298805887253527E-2</v>
      </c>
      <c r="G17">
        <v>3.7192371607185359E-3</v>
      </c>
    </row>
    <row r="18" spans="1:7" x14ac:dyDescent="0.3">
      <c r="A18">
        <v>44120</v>
      </c>
      <c r="B18">
        <v>0.68730000000000002</v>
      </c>
      <c r="C18">
        <v>0.63980000000000004</v>
      </c>
      <c r="D18">
        <v>0.70269999999999999</v>
      </c>
      <c r="E18">
        <v>0.65439999999999998</v>
      </c>
      <c r="F18">
        <v>6.8734879749537514E-2</v>
      </c>
      <c r="G18">
        <v>3.2088959491660018E-2</v>
      </c>
    </row>
    <row r="19" spans="1:7" x14ac:dyDescent="0.3">
      <c r="A19">
        <v>44121</v>
      </c>
      <c r="B19">
        <v>0.67810000000000004</v>
      </c>
      <c r="C19">
        <v>0.65229999999999999</v>
      </c>
      <c r="D19">
        <v>0.65439999999999998</v>
      </c>
      <c r="E19">
        <v>0.66339999999999999</v>
      </c>
      <c r="F19">
        <v>-1.3753056234718786E-2</v>
      </c>
      <c r="G19">
        <v>-8.3976147491657827E-3</v>
      </c>
    </row>
    <row r="20" spans="1:7" x14ac:dyDescent="0.3">
      <c r="A20">
        <v>44122</v>
      </c>
      <c r="B20">
        <v>0.7228</v>
      </c>
      <c r="C20">
        <v>0.68120000000000003</v>
      </c>
      <c r="D20">
        <v>0.66339999999999999</v>
      </c>
      <c r="E20">
        <v>0.71530000000000005</v>
      </c>
      <c r="F20">
        <v>-7.8233343382574594E-2</v>
      </c>
      <c r="G20">
        <v>-2.6556354265563575E-2</v>
      </c>
    </row>
    <row r="21" spans="1:7" x14ac:dyDescent="0.3">
      <c r="A21">
        <v>44123</v>
      </c>
      <c r="B21">
        <v>0.72089999999999999</v>
      </c>
      <c r="C21">
        <v>0.66779999999999995</v>
      </c>
      <c r="D21">
        <v>0.71530000000000005</v>
      </c>
      <c r="E21">
        <v>0.67530000000000001</v>
      </c>
      <c r="F21">
        <v>5.5920592758283316E-2</v>
      </c>
      <c r="G21">
        <v>-2.5631540006343378E-3</v>
      </c>
    </row>
    <row r="22" spans="1:7" x14ac:dyDescent="0.3">
      <c r="A22">
        <v>44124</v>
      </c>
      <c r="B22">
        <v>0.66520000000000001</v>
      </c>
      <c r="C22">
        <v>0.61160000000000003</v>
      </c>
      <c r="D22">
        <v>0.65869999999999995</v>
      </c>
      <c r="E22">
        <v>0.62339999999999995</v>
      </c>
      <c r="F22">
        <v>7.6854731230564299E-2</v>
      </c>
      <c r="G22">
        <v>2.8122611422998878E-2</v>
      </c>
    </row>
    <row r="23" spans="1:7" x14ac:dyDescent="0.3">
      <c r="A23">
        <v>44125</v>
      </c>
      <c r="B23">
        <v>0.69589999999999996</v>
      </c>
      <c r="C23">
        <v>0.62260000000000004</v>
      </c>
      <c r="D23">
        <v>0.62339999999999995</v>
      </c>
      <c r="E23">
        <v>0.6653</v>
      </c>
      <c r="F23">
        <v>-6.7212062880975365E-2</v>
      </c>
      <c r="G23">
        <v>-6.1615230243531993E-2</v>
      </c>
    </row>
    <row r="24" spans="1:7" x14ac:dyDescent="0.3">
      <c r="A24">
        <v>44126</v>
      </c>
      <c r="B24">
        <v>0.72399999999999998</v>
      </c>
      <c r="C24">
        <v>0.6613</v>
      </c>
      <c r="D24">
        <v>0.6653</v>
      </c>
      <c r="E24">
        <v>0.67069999999999996</v>
      </c>
      <c r="F24">
        <v>-8.116639110175905E-3</v>
      </c>
      <c r="G24">
        <v>-5.8856588157155221E-2</v>
      </c>
    </row>
    <row r="25" spans="1:7" x14ac:dyDescent="0.3">
      <c r="A25">
        <v>44127</v>
      </c>
      <c r="B25">
        <v>0.6966</v>
      </c>
      <c r="C25">
        <v>0.64500000000000002</v>
      </c>
      <c r="D25">
        <v>0.67069999999999996</v>
      </c>
      <c r="E25">
        <v>0.66720000000000002</v>
      </c>
      <c r="F25">
        <v>5.2184285075294046E-3</v>
      </c>
      <c r="G25">
        <v>1.189384800965021E-2</v>
      </c>
    </row>
    <row r="26" spans="1:7" x14ac:dyDescent="0.3">
      <c r="A26">
        <v>44128</v>
      </c>
      <c r="B26">
        <v>0.67600000000000005</v>
      </c>
      <c r="C26">
        <v>0.64339999999999997</v>
      </c>
      <c r="D26">
        <v>0.66720000000000002</v>
      </c>
      <c r="E26">
        <v>0.65880000000000005</v>
      </c>
      <c r="F26">
        <v>1.2589928057553879E-2</v>
      </c>
      <c r="G26">
        <v>-7.275923529555417E-3</v>
      </c>
    </row>
    <row r="27" spans="1:7" x14ac:dyDescent="0.3">
      <c r="A27">
        <v>44129</v>
      </c>
      <c r="B27">
        <v>0.66020000000000001</v>
      </c>
      <c r="C27">
        <v>0.61680000000000001</v>
      </c>
      <c r="D27">
        <v>0.65880000000000005</v>
      </c>
      <c r="E27">
        <v>0.62560000000000004</v>
      </c>
      <c r="F27">
        <v>5.0394656952034045E-2</v>
      </c>
      <c r="G27">
        <v>1.5004241910071547E-2</v>
      </c>
    </row>
    <row r="28" spans="1:7" x14ac:dyDescent="0.3">
      <c r="A28">
        <v>44130</v>
      </c>
      <c r="B28">
        <v>0.64559999999999995</v>
      </c>
      <c r="C28">
        <v>0.58860000000000001</v>
      </c>
      <c r="D28">
        <v>0.62560000000000004</v>
      </c>
      <c r="E28">
        <v>0.62880000000000003</v>
      </c>
      <c r="F28">
        <v>-5.1150895140663621E-3</v>
      </c>
      <c r="G28">
        <v>3.2606555763362577E-2</v>
      </c>
    </row>
    <row r="29" spans="1:7" x14ac:dyDescent="0.3">
      <c r="A29">
        <v>44131</v>
      </c>
      <c r="B29">
        <v>0.71830000000000005</v>
      </c>
      <c r="C29">
        <v>0.62450000000000006</v>
      </c>
      <c r="D29">
        <v>0.62880000000000003</v>
      </c>
      <c r="E29">
        <v>0.70399999999999996</v>
      </c>
      <c r="F29">
        <v>-0.11959287531806595</v>
      </c>
      <c r="G29">
        <v>-2.7040777390552329E-2</v>
      </c>
    </row>
    <row r="30" spans="1:7" x14ac:dyDescent="0.3">
      <c r="A30">
        <v>44132</v>
      </c>
      <c r="B30">
        <v>0.70599999999999996</v>
      </c>
      <c r="C30">
        <v>0.61099999999999999</v>
      </c>
      <c r="D30">
        <v>0.70399999999999996</v>
      </c>
      <c r="E30">
        <v>0.64370000000000005</v>
      </c>
      <c r="F30">
        <v>8.5653409090909016E-2</v>
      </c>
      <c r="G30">
        <v>3.7078317729231758E-2</v>
      </c>
    </row>
    <row r="31" spans="1:7" x14ac:dyDescent="0.3">
      <c r="A31">
        <v>44133</v>
      </c>
      <c r="B31">
        <v>0.67969999999999997</v>
      </c>
      <c r="C31">
        <v>0.62209999999999999</v>
      </c>
      <c r="D31">
        <v>0.64370000000000005</v>
      </c>
      <c r="E31">
        <v>0.6462</v>
      </c>
      <c r="F31">
        <v>-3.8837967997513712E-3</v>
      </c>
      <c r="G31">
        <v>3.163824369164181E-3</v>
      </c>
    </row>
    <row r="32" spans="1:7" x14ac:dyDescent="0.3">
      <c r="A32">
        <v>44134</v>
      </c>
      <c r="B32">
        <v>0.65180000000000005</v>
      </c>
      <c r="C32">
        <v>0.58819999999999995</v>
      </c>
      <c r="D32">
        <v>0.6462</v>
      </c>
      <c r="E32">
        <v>0.6</v>
      </c>
      <c r="F32">
        <v>7.1494893221912714E-2</v>
      </c>
      <c r="G32">
        <v>1.2334210662125256E-2</v>
      </c>
    </row>
    <row r="33" spans="1:7" x14ac:dyDescent="0.3">
      <c r="A33">
        <v>44135</v>
      </c>
      <c r="B33">
        <v>0.63700000000000001</v>
      </c>
      <c r="C33">
        <v>0.59230000000000005</v>
      </c>
      <c r="D33">
        <v>0.6</v>
      </c>
      <c r="E33">
        <v>0.60719999999999996</v>
      </c>
      <c r="F33">
        <v>-1.2000000000000011E-2</v>
      </c>
      <c r="G33">
        <v>-1.0476538823283477E-2</v>
      </c>
    </row>
    <row r="34" spans="1:7" x14ac:dyDescent="0.3">
      <c r="A34">
        <v>44136</v>
      </c>
      <c r="B34">
        <v>0.61839999999999995</v>
      </c>
      <c r="C34">
        <v>0.59430000000000005</v>
      </c>
      <c r="D34">
        <v>0.60719999999999996</v>
      </c>
      <c r="E34">
        <v>0.60719999999999996</v>
      </c>
      <c r="F34">
        <v>0</v>
      </c>
      <c r="G34">
        <v>-2.5803449078263707E-2</v>
      </c>
    </row>
    <row r="35" spans="1:7" x14ac:dyDescent="0.3">
      <c r="A35">
        <v>44137</v>
      </c>
      <c r="B35">
        <v>0.62480000000000002</v>
      </c>
      <c r="C35">
        <v>0.58330000000000004</v>
      </c>
      <c r="D35">
        <v>0.60719999999999996</v>
      </c>
      <c r="E35">
        <v>0.58330000000000004</v>
      </c>
      <c r="F35">
        <v>3.9361001317522959E-2</v>
      </c>
      <c r="G35">
        <v>3.3119092627599156E-2</v>
      </c>
    </row>
    <row r="36" spans="1:7" x14ac:dyDescent="0.3">
      <c r="A36">
        <v>44138</v>
      </c>
      <c r="B36">
        <v>0.58330000000000004</v>
      </c>
      <c r="C36">
        <v>0.50770000000000004</v>
      </c>
      <c r="D36">
        <v>0.58330000000000004</v>
      </c>
      <c r="E36">
        <v>0.52529999999999999</v>
      </c>
      <c r="F36">
        <v>9.9434253385907834E-2</v>
      </c>
      <c r="G36">
        <v>-1.191314095044449E-2</v>
      </c>
    </row>
    <row r="37" spans="1:7" x14ac:dyDescent="0.3">
      <c r="A37">
        <v>44139</v>
      </c>
      <c r="B37">
        <v>0.52829999999999999</v>
      </c>
      <c r="C37">
        <v>0.47370000000000001</v>
      </c>
      <c r="D37">
        <v>0.52529999999999999</v>
      </c>
      <c r="E37">
        <v>0.49669999999999997</v>
      </c>
      <c r="F37">
        <v>5.444507900247475E-2</v>
      </c>
      <c r="G37">
        <v>-3.730228244628786E-2</v>
      </c>
    </row>
    <row r="38" spans="1:7" x14ac:dyDescent="0.3">
      <c r="A38">
        <v>44140</v>
      </c>
      <c r="B38">
        <v>0.54390000000000005</v>
      </c>
      <c r="C38">
        <v>0.48459999999999998</v>
      </c>
      <c r="D38">
        <v>0.49669999999999997</v>
      </c>
      <c r="E38">
        <v>0.51800000000000002</v>
      </c>
      <c r="F38">
        <v>-4.2883027984699007E-2</v>
      </c>
      <c r="G38">
        <v>-3.5339989072666667E-2</v>
      </c>
    </row>
    <row r="39" spans="1:7" x14ac:dyDescent="0.3">
      <c r="A39">
        <v>44141</v>
      </c>
      <c r="B39">
        <v>0.63439999999999996</v>
      </c>
      <c r="C39">
        <v>0.51800000000000002</v>
      </c>
      <c r="D39">
        <v>0.51800000000000002</v>
      </c>
      <c r="E39">
        <v>0.61760000000000004</v>
      </c>
      <c r="F39">
        <v>-0.19227799227799225</v>
      </c>
      <c r="G39">
        <v>-9.4581304420830348E-2</v>
      </c>
    </row>
    <row r="40" spans="1:7" x14ac:dyDescent="0.3">
      <c r="A40">
        <v>44142</v>
      </c>
      <c r="B40">
        <v>0.70909999999999995</v>
      </c>
      <c r="C40">
        <v>0.58120000000000005</v>
      </c>
      <c r="D40">
        <v>0.61760000000000004</v>
      </c>
      <c r="E40">
        <v>0.60350000000000004</v>
      </c>
      <c r="F40">
        <v>2.2830310880828986E-2</v>
      </c>
      <c r="G40">
        <v>4.4924614305750343E-2</v>
      </c>
    </row>
    <row r="41" spans="1:7" x14ac:dyDescent="0.3">
      <c r="A41">
        <v>44143</v>
      </c>
      <c r="B41">
        <v>0.66300000000000003</v>
      </c>
      <c r="C41">
        <v>0.5917</v>
      </c>
      <c r="D41">
        <v>0.60350000000000004</v>
      </c>
      <c r="E41">
        <v>0.64159999999999995</v>
      </c>
      <c r="F41">
        <v>-6.3131731565865712E-2</v>
      </c>
      <c r="G41">
        <v>-4.3412417970721817E-2</v>
      </c>
    </row>
    <row r="42" spans="1:7" x14ac:dyDescent="0.3">
      <c r="A42">
        <v>44144</v>
      </c>
      <c r="B42">
        <v>0.65769999999999995</v>
      </c>
      <c r="C42">
        <v>0.58399999999999996</v>
      </c>
      <c r="D42">
        <v>0.64159999999999995</v>
      </c>
      <c r="E42">
        <v>0.60199999999999998</v>
      </c>
      <c r="F42">
        <v>6.1720698254363993E-2</v>
      </c>
      <c r="G42">
        <v>2.2628315081145267E-2</v>
      </c>
    </row>
    <row r="43" spans="1:7" x14ac:dyDescent="0.3">
      <c r="A43">
        <v>44145</v>
      </c>
      <c r="B43">
        <v>0.69379999999999997</v>
      </c>
      <c r="C43">
        <v>0.58899999999999997</v>
      </c>
      <c r="D43">
        <v>0.60199999999999998</v>
      </c>
      <c r="E43">
        <v>0.6734</v>
      </c>
      <c r="F43">
        <v>-0.11860465116279073</v>
      </c>
      <c r="G43">
        <v>-1.4422319721003607E-2</v>
      </c>
    </row>
    <row r="44" spans="1:7" x14ac:dyDescent="0.3">
      <c r="A44">
        <v>44146</v>
      </c>
      <c r="B44">
        <v>0.7651</v>
      </c>
      <c r="C44">
        <v>0.6734</v>
      </c>
      <c r="D44">
        <v>0.6734</v>
      </c>
      <c r="E44">
        <v>0.6835</v>
      </c>
      <c r="F44">
        <v>-1.4998514998515011E-2</v>
      </c>
      <c r="G44">
        <v>-2.8944683493767442E-2</v>
      </c>
    </row>
    <row r="45" spans="1:7" x14ac:dyDescent="0.3">
      <c r="A45">
        <v>44147</v>
      </c>
      <c r="B45">
        <v>0.72719999999999996</v>
      </c>
      <c r="C45">
        <v>0.64449999999999996</v>
      </c>
      <c r="D45">
        <v>0.6835</v>
      </c>
      <c r="E45">
        <v>0.69330000000000003</v>
      </c>
      <c r="F45">
        <v>-1.4337966349670772E-2</v>
      </c>
      <c r="G45">
        <v>2.4358172921472576E-3</v>
      </c>
    </row>
    <row r="46" spans="1:7" x14ac:dyDescent="0.3">
      <c r="A46">
        <v>44148</v>
      </c>
      <c r="B46">
        <v>0.98719999999999997</v>
      </c>
      <c r="C46">
        <v>0.68769999999999998</v>
      </c>
      <c r="D46">
        <v>0.69330000000000003</v>
      </c>
      <c r="E46">
        <v>0.96220000000000006</v>
      </c>
      <c r="F46">
        <v>-0.38785518534544927</v>
      </c>
      <c r="G46">
        <v>-3.0446432430096371E-2</v>
      </c>
    </row>
    <row r="47" spans="1:7" x14ac:dyDescent="0.3">
      <c r="A47">
        <v>44149</v>
      </c>
      <c r="B47">
        <v>1.109</v>
      </c>
      <c r="C47">
        <v>0.85099999999999998</v>
      </c>
      <c r="D47">
        <v>0.96220000000000006</v>
      </c>
      <c r="E47">
        <v>1.0509999999999999</v>
      </c>
      <c r="F47">
        <v>-9.2288505508210328E-2</v>
      </c>
      <c r="G47">
        <v>3.3216599911925715E-2</v>
      </c>
    </row>
    <row r="48" spans="1:7" x14ac:dyDescent="0.3">
      <c r="A48">
        <v>44150</v>
      </c>
      <c r="B48">
        <v>1.444</v>
      </c>
      <c r="C48">
        <v>1.0489999999999999</v>
      </c>
      <c r="D48">
        <v>1.0509999999999999</v>
      </c>
      <c r="E48">
        <v>1.2549999999999999</v>
      </c>
      <c r="F48">
        <v>-0.19410085632730723</v>
      </c>
      <c r="G48">
        <v>2.7156584170227482E-2</v>
      </c>
    </row>
    <row r="49" spans="1:7" x14ac:dyDescent="0.3">
      <c r="A49">
        <v>44151</v>
      </c>
      <c r="B49">
        <v>1.4770000000000001</v>
      </c>
      <c r="C49">
        <v>1.1339999999999999</v>
      </c>
      <c r="D49">
        <v>1.2549999999999999</v>
      </c>
      <c r="E49">
        <v>1.3160000000000001</v>
      </c>
      <c r="F49">
        <v>-4.8605577689243118E-2</v>
      </c>
      <c r="G49">
        <v>-2.7870058638603368E-2</v>
      </c>
    </row>
    <row r="50" spans="1:7" x14ac:dyDescent="0.3">
      <c r="A50">
        <v>44152</v>
      </c>
      <c r="B50">
        <v>1.454</v>
      </c>
      <c r="C50">
        <v>1.224</v>
      </c>
      <c r="D50">
        <v>1.3160000000000001</v>
      </c>
      <c r="E50">
        <v>1.3380000000000001</v>
      </c>
      <c r="F50">
        <v>-1.6717325227963542E-2</v>
      </c>
      <c r="G50">
        <v>-4.7070562460684195E-2</v>
      </c>
    </row>
    <row r="51" spans="1:7" x14ac:dyDescent="0.3">
      <c r="A51">
        <v>44153</v>
      </c>
      <c r="B51">
        <v>1.355</v>
      </c>
      <c r="C51">
        <v>1.071</v>
      </c>
      <c r="D51">
        <v>1.3380000000000001</v>
      </c>
      <c r="E51">
        <v>1.1479999999999999</v>
      </c>
      <c r="F51">
        <v>0.14200298953662194</v>
      </c>
      <c r="G51">
        <v>8.1829669988191522E-3</v>
      </c>
    </row>
    <row r="52" spans="1:7" x14ac:dyDescent="0.3">
      <c r="A52">
        <v>44154</v>
      </c>
      <c r="B52">
        <v>1.6719999999999999</v>
      </c>
      <c r="C52">
        <v>1.1180000000000001</v>
      </c>
      <c r="D52">
        <v>1.1479999999999999</v>
      </c>
      <c r="E52">
        <v>1.5760000000000001</v>
      </c>
      <c r="F52">
        <v>-0.37282229965156821</v>
      </c>
      <c r="G52">
        <v>1.4495780766981325E-2</v>
      </c>
    </row>
    <row r="53" spans="1:7" x14ac:dyDescent="0.3">
      <c r="A53">
        <v>44155</v>
      </c>
      <c r="B53">
        <v>1.7989999999999999</v>
      </c>
      <c r="C53">
        <v>1.494</v>
      </c>
      <c r="D53">
        <v>1.5760000000000001</v>
      </c>
      <c r="E53">
        <v>1.585</v>
      </c>
      <c r="F53">
        <v>-5.7106598984770773E-3</v>
      </c>
      <c r="G53">
        <v>-8.1832054597092085E-2</v>
      </c>
    </row>
    <row r="54" spans="1:7" x14ac:dyDescent="0.3">
      <c r="A54">
        <v>44156</v>
      </c>
      <c r="B54">
        <v>1.74</v>
      </c>
      <c r="C54">
        <v>1.496</v>
      </c>
      <c r="D54">
        <v>1.585</v>
      </c>
      <c r="E54">
        <v>1.661</v>
      </c>
      <c r="F54">
        <v>-4.7949526813880095E-2</v>
      </c>
      <c r="G54">
        <v>-8.195051231314765E-2</v>
      </c>
    </row>
    <row r="55" spans="1:7" x14ac:dyDescent="0.3">
      <c r="A55">
        <v>44157</v>
      </c>
      <c r="B55">
        <v>1.75</v>
      </c>
      <c r="C55">
        <v>1.4039999999999999</v>
      </c>
      <c r="D55">
        <v>1.661</v>
      </c>
      <c r="E55">
        <v>1.625</v>
      </c>
      <c r="F55">
        <v>2.1673690547862723E-2</v>
      </c>
      <c r="G55">
        <v>-1.4033245210589129E-2</v>
      </c>
    </row>
    <row r="56" spans="1:7" x14ac:dyDescent="0.3">
      <c r="A56">
        <v>44158</v>
      </c>
      <c r="B56">
        <v>1.6819999999999999</v>
      </c>
      <c r="C56">
        <v>1.431</v>
      </c>
      <c r="D56">
        <v>1.625</v>
      </c>
      <c r="E56">
        <v>1.5369999999999999</v>
      </c>
      <c r="F56">
        <v>5.4153846153846219E-2</v>
      </c>
      <c r="G56">
        <v>-8.7712719415724782E-2</v>
      </c>
    </row>
    <row r="57" spans="1:7" x14ac:dyDescent="0.3">
      <c r="A57">
        <v>44159</v>
      </c>
      <c r="B57">
        <v>1.599</v>
      </c>
      <c r="C57">
        <v>1.3029999999999999</v>
      </c>
      <c r="D57">
        <v>1.5369999999999999</v>
      </c>
      <c r="E57">
        <v>1.349</v>
      </c>
      <c r="F57">
        <v>0.12231620039037083</v>
      </c>
      <c r="G57">
        <v>6.8129955838654999E-3</v>
      </c>
    </row>
    <row r="58" spans="1:7" x14ac:dyDescent="0.3">
      <c r="A58">
        <v>44160</v>
      </c>
      <c r="B58">
        <v>1.5109999999999999</v>
      </c>
      <c r="C58">
        <v>1.1639999999999999</v>
      </c>
      <c r="D58">
        <v>1.349</v>
      </c>
      <c r="E58">
        <v>1.2250000000000001</v>
      </c>
      <c r="F58">
        <v>9.1919940696812419E-2</v>
      </c>
      <c r="G58">
        <v>5.8811861549142197E-2</v>
      </c>
    </row>
    <row r="59" spans="1:7" x14ac:dyDescent="0.3">
      <c r="A59">
        <v>44161</v>
      </c>
      <c r="B59">
        <v>1.43</v>
      </c>
      <c r="C59">
        <v>0.9758</v>
      </c>
      <c r="D59">
        <v>1.2250000000000001</v>
      </c>
      <c r="E59">
        <v>1.427</v>
      </c>
      <c r="F59">
        <v>-0.16489795918367345</v>
      </c>
      <c r="G59">
        <v>8.6371619248331477E-2</v>
      </c>
    </row>
    <row r="60" spans="1:7" x14ac:dyDescent="0.3">
      <c r="A60">
        <v>44162</v>
      </c>
      <c r="B60">
        <v>1.5089999999999999</v>
      </c>
      <c r="C60">
        <v>1.3080000000000001</v>
      </c>
      <c r="D60">
        <v>1.427</v>
      </c>
      <c r="E60">
        <v>1.452</v>
      </c>
      <c r="F60">
        <v>-1.7519271198318087E-2</v>
      </c>
      <c r="G60">
        <v>2.671946484179788E-3</v>
      </c>
    </row>
    <row r="61" spans="1:7" x14ac:dyDescent="0.3">
      <c r="A61">
        <v>44163</v>
      </c>
      <c r="B61">
        <v>1.532</v>
      </c>
      <c r="C61">
        <v>1.3360000000000001</v>
      </c>
      <c r="D61">
        <v>1.4510000000000001</v>
      </c>
      <c r="E61">
        <v>1.367</v>
      </c>
      <c r="F61">
        <v>5.8539944903581276E-2</v>
      </c>
      <c r="G61">
        <v>-3.6929244646608739E-2</v>
      </c>
    </row>
    <row r="62" spans="1:7" x14ac:dyDescent="0.3">
      <c r="A62">
        <v>44164</v>
      </c>
      <c r="B62">
        <v>1.4690000000000001</v>
      </c>
      <c r="C62">
        <v>1.349</v>
      </c>
      <c r="D62">
        <v>1.4119999999999999</v>
      </c>
      <c r="E62">
        <v>1.399</v>
      </c>
      <c r="F62">
        <v>-2.3408924652523755E-2</v>
      </c>
      <c r="G62">
        <v>-5.0354095801037335E-2</v>
      </c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AppSettings</vt:lpstr>
      <vt:lpstr>Portfolio</vt:lpstr>
      <vt:lpstr>SymbolData</vt:lpstr>
      <vt:lpstr>MKR</vt:lpstr>
      <vt:lpstr>SNX</vt:lpstr>
      <vt:lpstr>UNI</vt:lpstr>
      <vt:lpstr>YFI</vt:lpstr>
      <vt:lpstr>COMP</vt:lpstr>
      <vt:lpstr>REN</vt:lpstr>
      <vt:lpstr>LRC</vt:lpstr>
      <vt:lpstr>KNC</vt:lpstr>
      <vt:lpstr>BAL</vt:lpstr>
      <vt:lpstr>REP</vt:lpstr>
      <vt:lpstr>LINK</vt:lpstr>
      <vt:lpstr>BTC</vt:lpstr>
      <vt:lpstr>USDC</vt:lpstr>
      <vt:lpstr>ETH</vt:lpstr>
      <vt:lpstr>AAVE</vt:lpstr>
      <vt:lpstr>WBTC</vt:lpstr>
      <vt:lpstr>FARM</vt:lpstr>
      <vt:lpstr>DPI</vt:lpstr>
      <vt:lpstr>SUSHI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krugman</dc:creator>
  <cp:lastModifiedBy>Dad</cp:lastModifiedBy>
  <dcterms:created xsi:type="dcterms:W3CDTF">2020-11-02T03:50:38Z</dcterms:created>
  <dcterms:modified xsi:type="dcterms:W3CDTF">2020-11-30T19:20:36Z</dcterms:modified>
</cp:coreProperties>
</file>
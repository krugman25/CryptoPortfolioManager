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d\Desktop\Portfolio Manager\"/>
    </mc:Choice>
  </mc:AlternateContent>
  <xr:revisionPtr revIDLastSave="0" documentId="13_ncr:1_{43774B50-3AE0-4086-98C4-5152DD5AEA0C}" xr6:coauthVersionLast="45" xr6:coauthVersionMax="45" xr10:uidLastSave="{00000000-0000-0000-0000-000000000000}"/>
  <bookViews>
    <workbookView xWindow="-108" yWindow="-108" windowWidth="46296" windowHeight="25536" xr2:uid="{AC7F7168-EA68-4E10-ADB5-66B98305ED10}"/>
  </bookViews>
  <sheets>
    <sheet name="AppSettings" sheetId="145" r:id="rId1"/>
    <sheet name="Portfolio" sheetId="1" r:id="rId2"/>
    <sheet name="SymbolData" sheetId="6" state="hidden" r:id="rId3"/>
    <sheet name="MKR" sheetId="218" state="hidden" r:id="rId4"/>
    <sheet name="SNX" sheetId="220" state="hidden" r:id="rId5"/>
    <sheet name="UNI" sheetId="221" state="hidden" r:id="rId6"/>
    <sheet name="YFI" sheetId="222" state="hidden" r:id="rId7"/>
    <sheet name="COMP" sheetId="223" state="hidden" r:id="rId8"/>
    <sheet name="REN" sheetId="224" state="hidden" r:id="rId9"/>
    <sheet name="LRC" sheetId="225" state="hidden" r:id="rId10"/>
    <sheet name="KNC" sheetId="226" state="hidden" r:id="rId11"/>
    <sheet name="BAL" sheetId="227" state="hidden" r:id="rId12"/>
    <sheet name="REP" sheetId="228" state="hidden" r:id="rId13"/>
    <sheet name="LINK" sheetId="229" state="hidden" r:id="rId14"/>
    <sheet name="BTC" sheetId="230" state="hidden" r:id="rId15"/>
    <sheet name="USDC" sheetId="231" state="hidden" r:id="rId16"/>
    <sheet name="ETH" sheetId="242" state="hidden" r:id="rId17"/>
    <sheet name="AAVE" sheetId="243" state="hidden" r:id="rId18"/>
    <sheet name="WBTC" sheetId="244" state="hidden" r:id="rId19"/>
    <sheet name="FARM" sheetId="246" state="hidden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1" l="1"/>
  <c r="G5" i="1"/>
  <c r="S5" i="1"/>
  <c r="M12" i="1"/>
  <c r="L12" i="1"/>
  <c r="G12" i="1"/>
  <c r="F12" i="1"/>
  <c r="C6" i="1" l="1"/>
  <c r="M9" i="1"/>
  <c r="M8" i="1"/>
  <c r="M7" i="1"/>
  <c r="M6" i="1"/>
  <c r="G6" i="1"/>
  <c r="G9" i="1"/>
  <c r="G8" i="1"/>
  <c r="G7" i="1"/>
  <c r="S8" i="1"/>
  <c r="S9" i="1"/>
  <c r="C5" i="1" l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S12" i="1"/>
  <c r="R12" i="1"/>
  <c r="S6" i="1" l="1"/>
  <c r="C3" i="1" s="1"/>
  <c r="S7" i="1"/>
  <c r="C4" i="1" s="1"/>
</calcChain>
</file>

<file path=xl/sharedStrings.xml><?xml version="1.0" encoding="utf-8"?>
<sst xmlns="http://schemas.openxmlformats.org/spreadsheetml/2006/main" count="229" uniqueCount="51">
  <si>
    <t>Name</t>
  </si>
  <si>
    <t>Beta</t>
  </si>
  <si>
    <t>MKR</t>
  </si>
  <si>
    <t>AAVE</t>
  </si>
  <si>
    <t>SNX</t>
  </si>
  <si>
    <t>UNI</t>
  </si>
  <si>
    <t>YFI</t>
  </si>
  <si>
    <t>COMP</t>
  </si>
  <si>
    <t>REN</t>
  </si>
  <si>
    <t>LRC</t>
  </si>
  <si>
    <t>KNC</t>
  </si>
  <si>
    <t>BAL</t>
  </si>
  <si>
    <t>REP</t>
  </si>
  <si>
    <t>Symbol</t>
  </si>
  <si>
    <t>ETH</t>
  </si>
  <si>
    <t>DPI</t>
  </si>
  <si>
    <t>Date</t>
  </si>
  <si>
    <t>Open</t>
  </si>
  <si>
    <t>High</t>
  </si>
  <si>
    <t>Low</t>
  </si>
  <si>
    <t>Close</t>
  </si>
  <si>
    <t>% Change</t>
  </si>
  <si>
    <t>Components</t>
  </si>
  <si>
    <t>LINK</t>
  </si>
  <si>
    <t>BTC</t>
  </si>
  <si>
    <t>Beta wAvg</t>
  </si>
  <si>
    <t>Corr. wAvg</t>
  </si>
  <si>
    <t>Benchmark Asset</t>
  </si>
  <si>
    <t>Calculation Period</t>
  </si>
  <si>
    <t>Total Alloc.</t>
  </si>
  <si>
    <t>Yield</t>
  </si>
  <si>
    <t>Yield (APY)</t>
  </si>
  <si>
    <t>Index Strategy</t>
  </si>
  <si>
    <t>Portfolio</t>
  </si>
  <si>
    <t>Corr.</t>
  </si>
  <si>
    <t>Portfolio Beta Limit</t>
  </si>
  <si>
    <t>Portfolio Corr. Limit</t>
  </si>
  <si>
    <t>Portfolio Size</t>
  </si>
  <si>
    <t>Portfolio Alloc. %</t>
  </si>
  <si>
    <t>Portfolio Alloc. $</t>
  </si>
  <si>
    <t>Alloc.</t>
  </si>
  <si>
    <t>Portfolio Yield Target</t>
  </si>
  <si>
    <t>Symbols</t>
  </si>
  <si>
    <t>Benchmark % Change</t>
  </si>
  <si>
    <t>USDC</t>
  </si>
  <si>
    <t>Stablecoin</t>
  </si>
  <si>
    <t>General Holdings</t>
  </si>
  <si>
    <t>Utc Offset</t>
  </si>
  <si>
    <t>Last Update</t>
  </si>
  <si>
    <t>WBTC</t>
  </si>
  <si>
    <t>FARM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</si>
</sst>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yy"/>
    <numFmt numFmtId="165" formatCode="&quot;$&quot;#,##0.00"/>
    <numFmt numFmtId="166" formatCode="&quot;$&quot;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3" fillId="0" borderId="0" xfId="2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3" borderId="2" xfId="0" applyFill="1" applyBorder="1"/>
    <xf numFmtId="0" fontId="0" fillId="2" borderId="2" xfId="0" applyFill="1" applyBorder="1"/>
    <xf numFmtId="9" fontId="0" fillId="0" borderId="0" xfId="1" applyFont="1" applyAlignment="1">
      <alignment horizontal="left"/>
    </xf>
    <xf numFmtId="0" fontId="5" fillId="0" borderId="0" xfId="0" applyFont="1"/>
    <xf numFmtId="166" fontId="0" fillId="0" borderId="0" xfId="3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7" fillId="0" borderId="0" xfId="0" applyFont="1"/>
    <xf numFmtId="0" fontId="2" fillId="0" borderId="9" xfId="0" applyFont="1" applyBorder="1"/>
    <xf numFmtId="0" fontId="2" fillId="0" borderId="11" xfId="0" applyFont="1" applyBorder="1"/>
    <xf numFmtId="9" fontId="0" fillId="0" borderId="12" xfId="1" applyFont="1" applyBorder="1"/>
    <xf numFmtId="0" fontId="0" fillId="0" borderId="15" xfId="0" applyBorder="1"/>
    <xf numFmtId="2" fontId="0" fillId="0" borderId="16" xfId="0" applyNumberFormat="1" applyBorder="1"/>
    <xf numFmtId="10" fontId="0" fillId="0" borderId="16" xfId="1" applyNumberFormat="1" applyFont="1" applyBorder="1"/>
    <xf numFmtId="9" fontId="0" fillId="0" borderId="17" xfId="1" applyFont="1" applyBorder="1"/>
    <xf numFmtId="0" fontId="0" fillId="0" borderId="13" xfId="0" applyBorder="1"/>
    <xf numFmtId="2" fontId="0" fillId="0" borderId="18" xfId="0" applyNumberFormat="1" applyBorder="1"/>
    <xf numFmtId="10" fontId="0" fillId="0" borderId="18" xfId="1" applyNumberFormat="1" applyFont="1" applyBorder="1"/>
    <xf numFmtId="9" fontId="0" fillId="0" borderId="14" xfId="1" applyFont="1" applyBorder="1"/>
    <xf numFmtId="0" fontId="0" fillId="0" borderId="11" xfId="0" applyBorder="1"/>
    <xf numFmtId="2" fontId="0" fillId="0" borderId="19" xfId="0" applyNumberFormat="1" applyBorder="1"/>
    <xf numFmtId="10" fontId="0" fillId="0" borderId="19" xfId="1" applyNumberFormat="1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2" fontId="0" fillId="0" borderId="10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9" fontId="0" fillId="0" borderId="12" xfId="1" applyFont="1" applyBorder="1" applyAlignment="1">
      <alignment horizontal="left"/>
    </xf>
    <xf numFmtId="10" fontId="0" fillId="0" borderId="12" xfId="0" applyNumberFormat="1" applyBorder="1" applyAlignment="1">
      <alignment horizontal="left"/>
    </xf>
    <xf numFmtId="0" fontId="2" fillId="0" borderId="13" xfId="0" applyFont="1" applyFill="1" applyBorder="1"/>
    <xf numFmtId="14" fontId="0" fillId="0" borderId="14" xfId="0" applyNumberFormat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2" fontId="0" fillId="3" borderId="0" xfId="0" applyNumberFormat="1" applyFill="1" applyBorder="1" applyAlignment="1">
      <alignment horizontal="left"/>
    </xf>
    <xf numFmtId="10" fontId="0" fillId="3" borderId="0" xfId="0" applyNumberFormat="1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2" borderId="23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165" fontId="4" fillId="0" borderId="6" xfId="0" applyNumberFormat="1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10" fontId="0" fillId="2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0EE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7</xdr:row>
          <xdr:rowOff>121920</xdr:rowOff>
        </xdr:from>
        <xdr:to>
          <xdr:col>3</xdr:col>
          <xdr:colOff>0</xdr:colOff>
          <xdr:row>10</xdr:row>
          <xdr:rowOff>175260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 press ctrl+shift+Z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62CF-3ADD-48C7-8496-E8CD41113D1F}">
  <sheetPr codeName="Sheet2">
    <tabColor theme="0" tint="-0.14999847407452621"/>
  </sheetPr>
  <dimension ref="A1:D18"/>
  <sheetViews>
    <sheetView tabSelected="1" workbookViewId="0"/>
  </sheetViews>
  <sheetFormatPr defaultRowHeight="14.4" x14ac:dyDescent="0.3"/>
  <cols>
    <col min="1" max="1" width="19.6640625" customWidth="1"/>
    <col min="2" max="2" width="12" style="7" customWidth="1"/>
    <col min="3" max="3" width="3.33203125" customWidth="1"/>
  </cols>
  <sheetData>
    <row r="1" spans="1:4" x14ac:dyDescent="0.3">
      <c r="A1" s="1" t="s">
        <v>47</v>
      </c>
      <c r="B1" s="7">
        <v>6</v>
      </c>
      <c r="D1" s="1" t="s">
        <v>42</v>
      </c>
    </row>
    <row r="2" spans="1:4" x14ac:dyDescent="0.3">
      <c r="A2" s="1" t="s">
        <v>27</v>
      </c>
      <c r="B2" s="7" t="s">
        <v>14</v>
      </c>
      <c r="D2" t="s">
        <v>14</v>
      </c>
    </row>
    <row r="3" spans="1:4" x14ac:dyDescent="0.3">
      <c r="A3" s="1" t="s">
        <v>28</v>
      </c>
      <c r="B3" s="8">
        <v>30</v>
      </c>
      <c r="D3" t="s">
        <v>49</v>
      </c>
    </row>
    <row r="4" spans="1:4" x14ac:dyDescent="0.3">
      <c r="A4" s="1" t="s">
        <v>37</v>
      </c>
      <c r="B4" s="13">
        <v>3000000</v>
      </c>
      <c r="D4" t="s">
        <v>50</v>
      </c>
    </row>
    <row r="5" spans="1:4" x14ac:dyDescent="0.3">
      <c r="A5" s="1" t="s">
        <v>35</v>
      </c>
      <c r="B5" s="7">
        <v>2</v>
      </c>
      <c r="D5" t="s">
        <v>2</v>
      </c>
    </row>
    <row r="6" spans="1:4" x14ac:dyDescent="0.3">
      <c r="A6" s="1" t="s">
        <v>36</v>
      </c>
      <c r="B6" s="7">
        <v>0.7</v>
      </c>
      <c r="D6" t="s">
        <v>3</v>
      </c>
    </row>
    <row r="7" spans="1:4" x14ac:dyDescent="0.3">
      <c r="A7" s="1" t="s">
        <v>41</v>
      </c>
      <c r="B7" s="11">
        <v>0.05</v>
      </c>
      <c r="D7" t="s">
        <v>4</v>
      </c>
    </row>
    <row r="8" spans="1:4" x14ac:dyDescent="0.3">
      <c r="A8" s="1"/>
      <c r="D8" t="s">
        <v>5</v>
      </c>
    </row>
    <row r="9" spans="1:4" x14ac:dyDescent="0.3">
      <c r="A9" s="1"/>
      <c r="D9" t="s">
        <v>6</v>
      </c>
    </row>
    <row r="10" spans="1:4" x14ac:dyDescent="0.3">
      <c r="A10" s="1"/>
      <c r="D10" t="s">
        <v>7</v>
      </c>
    </row>
    <row r="11" spans="1:4" x14ac:dyDescent="0.3">
      <c r="A11" s="1"/>
      <c r="D11" t="s">
        <v>8</v>
      </c>
    </row>
    <row r="12" spans="1:4" x14ac:dyDescent="0.3">
      <c r="A12" s="1"/>
      <c r="D12" t="s">
        <v>9</v>
      </c>
    </row>
    <row r="13" spans="1:4" x14ac:dyDescent="0.3">
      <c r="A13" s="1"/>
      <c r="D13" t="s">
        <v>10</v>
      </c>
    </row>
    <row r="14" spans="1:4" x14ac:dyDescent="0.3">
      <c r="A14" s="1"/>
      <c r="D14" t="s">
        <v>11</v>
      </c>
    </row>
    <row r="15" spans="1:4" x14ac:dyDescent="0.3">
      <c r="A15" s="1"/>
      <c r="D15" t="s">
        <v>12</v>
      </c>
    </row>
    <row r="16" spans="1:4" x14ac:dyDescent="0.3">
      <c r="A16" s="1"/>
      <c r="D16" t="s">
        <v>23</v>
      </c>
    </row>
    <row r="17" spans="4:4" x14ac:dyDescent="0.3">
      <c r="D17" t="s">
        <v>24</v>
      </c>
    </row>
    <row r="18" spans="4:4" x14ac:dyDescent="0.3">
      <c r="D18" t="s">
        <v>44</v>
      </c>
    </row>
  </sheetData>
  <dataConsolidate/>
  <dataValidations count="2">
    <dataValidation type="whole" allowBlank="1" showInputMessage="1" showErrorMessage="1" errorTitle="Out of Range" error="Value is outside of range (30 - 120) or not a whole number" prompt="Input whole number between 30 and 120" sqref="B3" xr:uid="{2EAEE404-9885-4414-8756-C0CCA1A7A1E6}">
      <formula1>30</formula1>
      <formula2>120</formula2>
    </dataValidation>
    <dataValidation type="list" allowBlank="1" showInputMessage="1" showErrorMessage="1" sqref="B2" xr:uid="{66B989D5-7276-4AB4-A713-E457F6A37544}">
      <formula1>$D$2:$D$100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6092-657F-4A72-9A61-EBBE4E7C1B16}">
  <sheetPr codeName="Sheet1">
    <tabColor theme="4" tint="0.59999389629810485"/>
  </sheetPr>
  <dimension ref="A1:U27"/>
  <sheetViews>
    <sheetView showGridLines="0" zoomScaleNormal="100" workbookViewId="0">
      <selection activeCell="H32" sqref="H32"/>
    </sheetView>
  </sheetViews>
  <sheetFormatPr defaultRowHeight="14.4" x14ac:dyDescent="0.3"/>
  <cols>
    <col min="2" max="2" width="11.5546875" customWidth="1"/>
    <col min="3" max="3" width="12" customWidth="1"/>
    <col min="5" max="5" width="9.88671875" customWidth="1"/>
    <col min="6" max="6" width="6.44140625" customWidth="1"/>
    <col min="7" max="7" width="6.5546875" customWidth="1"/>
    <col min="8" max="8" width="9.77734375" customWidth="1"/>
    <col min="9" max="9" width="5.6640625" customWidth="1"/>
    <col min="11" max="11" width="10.21875" customWidth="1"/>
    <col min="12" max="12" width="5.21875" customWidth="1"/>
    <col min="13" max="13" width="5.6640625" customWidth="1"/>
    <col min="14" max="14" width="8.5546875" customWidth="1"/>
    <col min="15" max="15" width="5.21875" customWidth="1"/>
    <col min="17" max="17" width="8.5546875" customWidth="1"/>
    <col min="18" max="18" width="7.21875" customWidth="1"/>
    <col min="19" max="19" width="6.21875" customWidth="1"/>
    <col min="20" max="20" width="8.6640625" customWidth="1"/>
    <col min="21" max="21" width="6" customWidth="1"/>
  </cols>
  <sheetData>
    <row r="1" spans="1:21" ht="15" thickBot="1" x14ac:dyDescent="0.35">
      <c r="A1" s="3"/>
      <c r="B1" s="3"/>
      <c r="C1" s="3"/>
      <c r="P1" s="3"/>
    </row>
    <row r="2" spans="1:21" ht="18.600000000000001" thickBot="1" x14ac:dyDescent="0.4">
      <c r="B2" s="46" t="s">
        <v>33</v>
      </c>
      <c r="C2" s="47"/>
      <c r="D2" s="12"/>
      <c r="E2" s="52" t="s">
        <v>45</v>
      </c>
      <c r="F2" s="53"/>
      <c r="G2" s="53"/>
      <c r="H2" s="53"/>
      <c r="I2" s="54"/>
      <c r="J2" s="12"/>
      <c r="K2" s="52" t="s">
        <v>46</v>
      </c>
      <c r="L2" s="53"/>
      <c r="M2" s="53"/>
      <c r="N2" s="53"/>
      <c r="O2" s="54"/>
      <c r="Q2" s="52" t="s">
        <v>32</v>
      </c>
      <c r="R2" s="53"/>
      <c r="S2" s="53"/>
      <c r="T2" s="53"/>
      <c r="U2" s="54"/>
    </row>
    <row r="3" spans="1:21" x14ac:dyDescent="0.3">
      <c r="B3" s="16" t="s">
        <v>1</v>
      </c>
      <c r="C3" s="33">
        <f>(G6*G4)+(M6*M4)+(S6*S4)/3</f>
        <v>0.46971107100191201</v>
      </c>
      <c r="E3" s="50" t="s">
        <v>0</v>
      </c>
      <c r="F3" s="51"/>
      <c r="G3" s="48" t="s">
        <v>45</v>
      </c>
      <c r="H3" s="48"/>
      <c r="I3" s="49"/>
      <c r="K3" s="50" t="s">
        <v>0</v>
      </c>
      <c r="L3" s="51"/>
      <c r="M3" s="48" t="s">
        <v>46</v>
      </c>
      <c r="N3" s="48"/>
      <c r="O3" s="49"/>
      <c r="Q3" s="50" t="s">
        <v>0</v>
      </c>
      <c r="R3" s="51"/>
      <c r="S3" s="48" t="s">
        <v>15</v>
      </c>
      <c r="T3" s="48"/>
      <c r="U3" s="49"/>
    </row>
    <row r="4" spans="1:21" x14ac:dyDescent="0.3">
      <c r="B4" s="17" t="s">
        <v>34</v>
      </c>
      <c r="C4" s="34">
        <f>(G7*G4)+(M7*M4)+(S7*S4)/3</f>
        <v>0.56018294335576369</v>
      </c>
      <c r="E4" s="50" t="s">
        <v>38</v>
      </c>
      <c r="F4" s="51"/>
      <c r="G4" s="55">
        <v>0.83299999999999996</v>
      </c>
      <c r="H4" s="55"/>
      <c r="I4" s="10"/>
      <c r="K4" s="50" t="s">
        <v>38</v>
      </c>
      <c r="L4" s="51"/>
      <c r="M4" s="55">
        <v>8.3500000000000005E-2</v>
      </c>
      <c r="N4" s="55"/>
      <c r="O4" s="10"/>
      <c r="Q4" s="50" t="s">
        <v>38</v>
      </c>
      <c r="R4" s="51"/>
      <c r="S4" s="55">
        <v>8.3500000000000005E-2</v>
      </c>
      <c r="T4" s="55"/>
      <c r="U4" s="10"/>
    </row>
    <row r="5" spans="1:21" x14ac:dyDescent="0.3">
      <c r="B5" s="17" t="s">
        <v>30</v>
      </c>
      <c r="C5" s="35">
        <f>(G8*G4)+(M8*M4)+(S8*S4)/3</f>
        <v>0.1666</v>
      </c>
      <c r="E5" s="39" t="s">
        <v>39</v>
      </c>
      <c r="F5" s="40"/>
      <c r="G5" s="56">
        <f>G4*AppSettings!B4</f>
        <v>2499000</v>
      </c>
      <c r="H5" s="56"/>
      <c r="I5" s="9"/>
      <c r="K5" s="39" t="s">
        <v>39</v>
      </c>
      <c r="L5" s="40"/>
      <c r="M5" s="56">
        <f>M4*AppSettings!B4</f>
        <v>250500</v>
      </c>
      <c r="N5" s="56"/>
      <c r="O5" s="9"/>
      <c r="Q5" s="39" t="s">
        <v>39</v>
      </c>
      <c r="R5" s="40"/>
      <c r="S5" s="56">
        <f>S4*AppSettings!B4</f>
        <v>250500</v>
      </c>
      <c r="T5" s="56"/>
      <c r="U5" s="9"/>
    </row>
    <row r="6" spans="1:21" x14ac:dyDescent="0.3">
      <c r="B6" s="17" t="s">
        <v>29</v>
      </c>
      <c r="C6" s="36">
        <f>SUM(S4,G4,M4)</f>
        <v>1</v>
      </c>
      <c r="E6" s="39" t="s">
        <v>25</v>
      </c>
      <c r="F6" s="40"/>
      <c r="G6" s="44">
        <f>SUMPRODUCT(F12:F22,H12:H22)/SUM(H12:H22)</f>
        <v>0.44096854441692518</v>
      </c>
      <c r="H6" s="44"/>
      <c r="I6" s="9"/>
      <c r="K6" s="39" t="s">
        <v>25</v>
      </c>
      <c r="L6" s="40"/>
      <c r="M6" s="44">
        <f>SUMPRODUCT(L12:L22,N12:N22)/SUM(N12:N22)</f>
        <v>1.0000000000000004</v>
      </c>
      <c r="N6" s="44"/>
      <c r="O6" s="9"/>
      <c r="Q6" s="39" t="s">
        <v>25</v>
      </c>
      <c r="R6" s="40"/>
      <c r="S6" s="44">
        <f>SUMPRODUCT(R12:R22,T12:T22)/SUM(T12:T22)</f>
        <v>0.67847689230946118</v>
      </c>
      <c r="T6" s="44"/>
      <c r="U6" s="9"/>
    </row>
    <row r="7" spans="1:21" ht="15" thickBot="1" x14ac:dyDescent="0.35">
      <c r="B7" s="37" t="s">
        <v>48</v>
      </c>
      <c r="C7" s="38">
        <v>44163</v>
      </c>
      <c r="E7" s="39" t="s">
        <v>26</v>
      </c>
      <c r="F7" s="40"/>
      <c r="G7" s="44">
        <f>SUMPRODUCT(G12:G22,H12:H22)/SUM(H12:H22)</f>
        <v>0.55792053122034835</v>
      </c>
      <c r="H7" s="44"/>
      <c r="I7" s="9"/>
      <c r="K7" s="39" t="s">
        <v>26</v>
      </c>
      <c r="L7" s="40"/>
      <c r="M7" s="44">
        <f>SUMPRODUCT(M12:M22,N12:N22)/SUM(N12:N22)</f>
        <v>1.0000000000000002</v>
      </c>
      <c r="N7" s="44"/>
      <c r="O7" s="9"/>
      <c r="Q7" s="39" t="s">
        <v>26</v>
      </c>
      <c r="R7" s="40"/>
      <c r="S7" s="44">
        <f>SUMPRODUCT(S12:S22,T12:T22)/SUM(T12:T22)</f>
        <v>0.42880745566036166</v>
      </c>
      <c r="T7" s="44"/>
      <c r="U7" s="9"/>
    </row>
    <row r="8" spans="1:21" x14ac:dyDescent="0.3">
      <c r="E8" s="39" t="s">
        <v>31</v>
      </c>
      <c r="F8" s="40"/>
      <c r="G8" s="45">
        <f>SUMPRODUCT(I12:I22,H12:H22)/SUM(H12:H22)</f>
        <v>0.2</v>
      </c>
      <c r="H8" s="45"/>
      <c r="I8" s="9"/>
      <c r="K8" s="39" t="s">
        <v>31</v>
      </c>
      <c r="L8" s="40"/>
      <c r="M8" s="45">
        <f>SUMPRODUCT(O12:O22,N12:N22)/SUM(N12:N22)</f>
        <v>0</v>
      </c>
      <c r="N8" s="45"/>
      <c r="O8" s="9"/>
      <c r="Q8" s="39" t="s">
        <v>31</v>
      </c>
      <c r="R8" s="40"/>
      <c r="S8" s="45">
        <f>SUMPRODUCT(U12:U22,T12:T22)/SUM(T12:T22)</f>
        <v>0</v>
      </c>
      <c r="T8" s="45"/>
      <c r="U8" s="9"/>
    </row>
    <row r="9" spans="1:21" x14ac:dyDescent="0.3">
      <c r="E9" s="39" t="s">
        <v>29</v>
      </c>
      <c r="F9" s="40"/>
      <c r="G9" s="45">
        <f>SUM(H12:H22)</f>
        <v>1</v>
      </c>
      <c r="H9" s="45"/>
      <c r="I9" s="9"/>
      <c r="K9" s="39" t="s">
        <v>29</v>
      </c>
      <c r="L9" s="40"/>
      <c r="M9" s="45">
        <f>SUM(N12:N22)</f>
        <v>1</v>
      </c>
      <c r="N9" s="45"/>
      <c r="O9" s="9"/>
      <c r="Q9" s="39" t="s">
        <v>29</v>
      </c>
      <c r="R9" s="40"/>
      <c r="S9" s="45">
        <f>SUM(T12:T22)</f>
        <v>0.99929999999999997</v>
      </c>
      <c r="T9" s="45"/>
      <c r="U9" s="9"/>
    </row>
    <row r="10" spans="1:21" ht="15" thickBot="1" x14ac:dyDescent="0.35">
      <c r="E10" s="41" t="s">
        <v>22</v>
      </c>
      <c r="F10" s="42"/>
      <c r="G10" s="42"/>
      <c r="H10" s="42"/>
      <c r="I10" s="43"/>
      <c r="K10" s="41" t="s">
        <v>22</v>
      </c>
      <c r="L10" s="42"/>
      <c r="M10" s="42"/>
      <c r="N10" s="42"/>
      <c r="O10" s="43"/>
      <c r="Q10" s="41" t="s">
        <v>22</v>
      </c>
      <c r="R10" s="42"/>
      <c r="S10" s="42"/>
      <c r="T10" s="42"/>
      <c r="U10" s="43"/>
    </row>
    <row r="11" spans="1:21" ht="15" thickBot="1" x14ac:dyDescent="0.35">
      <c r="E11" s="30" t="s">
        <v>13</v>
      </c>
      <c r="F11" s="31" t="s">
        <v>1</v>
      </c>
      <c r="G11" s="31" t="s">
        <v>34</v>
      </c>
      <c r="H11" s="31" t="s">
        <v>40</v>
      </c>
      <c r="I11" s="32" t="s">
        <v>30</v>
      </c>
      <c r="K11" s="30" t="s">
        <v>13</v>
      </c>
      <c r="L11" s="31" t="s">
        <v>1</v>
      </c>
      <c r="M11" s="31" t="s">
        <v>34</v>
      </c>
      <c r="N11" s="31" t="s">
        <v>40</v>
      </c>
      <c r="O11" s="32" t="s">
        <v>30</v>
      </c>
      <c r="Q11" s="30" t="s">
        <v>13</v>
      </c>
      <c r="R11" s="31" t="s">
        <v>1</v>
      </c>
      <c r="S11" s="31" t="s">
        <v>34</v>
      </c>
      <c r="T11" s="31" t="s">
        <v>40</v>
      </c>
      <c r="U11" s="32" t="s">
        <v>30</v>
      </c>
    </row>
    <row r="12" spans="1:21" x14ac:dyDescent="0.3">
      <c r="E12" s="19" t="s">
        <v>44</v>
      </c>
      <c r="F12" s="20">
        <f>SymbolData!B17</f>
        <v>0.44096854441692518</v>
      </c>
      <c r="G12" s="20">
        <f>SymbolData!C17</f>
        <v>0.55792053122034835</v>
      </c>
      <c r="H12" s="21">
        <v>1</v>
      </c>
      <c r="I12" s="22">
        <v>0.2</v>
      </c>
      <c r="K12" s="19" t="s">
        <v>14</v>
      </c>
      <c r="L12" s="20">
        <f>SymbolData!B2</f>
        <v>1.0000000000000004</v>
      </c>
      <c r="M12" s="20">
        <f>SymbolData!C2</f>
        <v>1.0000000000000002</v>
      </c>
      <c r="N12" s="21">
        <v>1</v>
      </c>
      <c r="O12" s="22">
        <v>0</v>
      </c>
      <c r="Q12" s="19" t="s">
        <v>2</v>
      </c>
      <c r="R12" s="20">
        <f>SymbolData!B4</f>
        <v>0</v>
      </c>
      <c r="S12" s="20">
        <f>SymbolData!C4</f>
        <v>0</v>
      </c>
      <c r="T12" s="21">
        <v>0.1681</v>
      </c>
      <c r="U12" s="22">
        <v>0</v>
      </c>
    </row>
    <row r="13" spans="1:21" ht="15" thickBot="1" x14ac:dyDescent="0.35">
      <c r="E13" s="23"/>
      <c r="F13" s="24"/>
      <c r="G13" s="24"/>
      <c r="H13" s="25"/>
      <c r="I13" s="26"/>
      <c r="K13" s="23"/>
      <c r="L13" s="24"/>
      <c r="M13" s="24"/>
      <c r="N13" s="25"/>
      <c r="O13" s="26"/>
      <c r="Q13" s="27" t="s">
        <v>3</v>
      </c>
      <c r="R13" s="28">
        <f>SymbolData!B5</f>
        <v>0.66251412644719976</v>
      </c>
      <c r="S13" s="28">
        <f>SymbolData!C5</f>
        <v>0.83155377314257817</v>
      </c>
      <c r="T13" s="29">
        <v>0.1381</v>
      </c>
      <c r="U13" s="18">
        <v>0</v>
      </c>
    </row>
    <row r="14" spans="1:21" x14ac:dyDescent="0.3">
      <c r="Q14" s="27" t="s">
        <v>4</v>
      </c>
      <c r="R14" s="28">
        <f>SymbolData!B6</f>
        <v>0.54970109240646425</v>
      </c>
      <c r="S14" s="28">
        <f>SymbolData!C6</f>
        <v>0.229123652960811</v>
      </c>
      <c r="T14" s="29">
        <v>0.1183</v>
      </c>
      <c r="U14" s="18">
        <v>0</v>
      </c>
    </row>
    <row r="15" spans="1:21" x14ac:dyDescent="0.3">
      <c r="Q15" s="27" t="s">
        <v>5</v>
      </c>
      <c r="R15" s="28">
        <f>SymbolData!B7</f>
        <v>1.0582754291678675</v>
      </c>
      <c r="S15" s="28">
        <f>SymbolData!C7</f>
        <v>0.55944797935038693</v>
      </c>
      <c r="T15" s="29">
        <v>0.1164</v>
      </c>
      <c r="U15" s="18">
        <v>0</v>
      </c>
    </row>
    <row r="16" spans="1:21" x14ac:dyDescent="0.3">
      <c r="Q16" s="27" t="s">
        <v>6</v>
      </c>
      <c r="R16" s="28">
        <f>SymbolData!B8</f>
        <v>1.1144956881734369</v>
      </c>
      <c r="S16" s="28">
        <f>SymbolData!C8</f>
        <v>0.49987346988022341</v>
      </c>
      <c r="T16" s="29">
        <v>0.11020000000000001</v>
      </c>
      <c r="U16" s="18">
        <v>0</v>
      </c>
    </row>
    <row r="17" spans="2:21" x14ac:dyDescent="0.3">
      <c r="Q17" s="27" t="s">
        <v>7</v>
      </c>
      <c r="R17" s="28">
        <f>SymbolData!B9</f>
        <v>0.55397893328566905</v>
      </c>
      <c r="S17" s="28">
        <f>SymbolData!C9</f>
        <v>0.20681285216205603</v>
      </c>
      <c r="T17" s="29">
        <v>0.108</v>
      </c>
      <c r="U17" s="18">
        <v>0</v>
      </c>
    </row>
    <row r="18" spans="2:21" x14ac:dyDescent="0.3">
      <c r="Q18" s="27" t="s">
        <v>8</v>
      </c>
      <c r="R18" s="28">
        <f>SymbolData!B10</f>
        <v>0.84649436910470144</v>
      </c>
      <c r="S18" s="28">
        <f>SymbolData!C10</f>
        <v>0.68509352752188235</v>
      </c>
      <c r="T18" s="29">
        <v>8.0100000000000005E-2</v>
      </c>
      <c r="U18" s="18">
        <v>0</v>
      </c>
    </row>
    <row r="19" spans="2:21" x14ac:dyDescent="0.3">
      <c r="Q19" s="27" t="s">
        <v>9</v>
      </c>
      <c r="R19" s="28">
        <f>SymbolData!B11</f>
        <v>1.0190304525517684</v>
      </c>
      <c r="S19" s="28">
        <f>SymbolData!C11</f>
        <v>0.64430203255553264</v>
      </c>
      <c r="T19" s="29">
        <v>5.8099999999999999E-2</v>
      </c>
      <c r="U19" s="18">
        <v>0</v>
      </c>
    </row>
    <row r="20" spans="2:21" x14ac:dyDescent="0.3">
      <c r="Q20" s="27" t="s">
        <v>10</v>
      </c>
      <c r="R20" s="28">
        <f>SymbolData!B12</f>
        <v>0.80354630036836372</v>
      </c>
      <c r="S20" s="28">
        <f>SymbolData!C12</f>
        <v>0.35995915223036046</v>
      </c>
      <c r="T20" s="29">
        <v>5.2900000000000003E-2</v>
      </c>
      <c r="U20" s="18">
        <v>0</v>
      </c>
    </row>
    <row r="21" spans="2:21" x14ac:dyDescent="0.3">
      <c r="Q21" s="27" t="s">
        <v>11</v>
      </c>
      <c r="R21" s="28">
        <f>SymbolData!B13</f>
        <v>0.97139562761979226</v>
      </c>
      <c r="S21" s="28">
        <f>SymbolData!C13</f>
        <v>0.73562790284403812</v>
      </c>
      <c r="T21" s="29">
        <v>2.7099999999999999E-2</v>
      </c>
      <c r="U21" s="18">
        <v>0</v>
      </c>
    </row>
    <row r="22" spans="2:21" ht="15" thickBot="1" x14ac:dyDescent="0.35">
      <c r="Q22" s="23" t="s">
        <v>12</v>
      </c>
      <c r="R22" s="24">
        <f>SymbolData!B14</f>
        <v>0.90029180670770681</v>
      </c>
      <c r="S22" s="24">
        <f>SymbolData!C14</f>
        <v>0.57888645674631489</v>
      </c>
      <c r="T22" s="25">
        <v>2.1999999999999999E-2</v>
      </c>
      <c r="U22" s="26">
        <v>0</v>
      </c>
    </row>
    <row r="23" spans="2:21" x14ac:dyDescent="0.3">
      <c r="Q23" s="2"/>
    </row>
    <row r="27" spans="2:21" x14ac:dyDescent="0.3">
      <c r="B27" s="15"/>
    </row>
  </sheetData>
  <mergeCells count="49">
    <mergeCell ref="Q9:R9"/>
    <mergeCell ref="S4:T4"/>
    <mergeCell ref="S5:T5"/>
    <mergeCell ref="S6:T6"/>
    <mergeCell ref="S7:T7"/>
    <mergeCell ref="S8:T8"/>
    <mergeCell ref="S9:T9"/>
    <mergeCell ref="Q6:R6"/>
    <mergeCell ref="Q7:R7"/>
    <mergeCell ref="Q4:R4"/>
    <mergeCell ref="Q8:R8"/>
    <mergeCell ref="Q3:R3"/>
    <mergeCell ref="Q5:R5"/>
    <mergeCell ref="Q2:U2"/>
    <mergeCell ref="E2:I2"/>
    <mergeCell ref="E3:F3"/>
    <mergeCell ref="E4:F4"/>
    <mergeCell ref="G4:H4"/>
    <mergeCell ref="E5:F5"/>
    <mergeCell ref="G5:H5"/>
    <mergeCell ref="M4:N4"/>
    <mergeCell ref="M5:N5"/>
    <mergeCell ref="K3:L3"/>
    <mergeCell ref="K4:L4"/>
    <mergeCell ref="M3:O3"/>
    <mergeCell ref="S3:U3"/>
    <mergeCell ref="K2:O2"/>
    <mergeCell ref="B2:C2"/>
    <mergeCell ref="E6:F6"/>
    <mergeCell ref="G6:H6"/>
    <mergeCell ref="E7:F7"/>
    <mergeCell ref="G7:H7"/>
    <mergeCell ref="G3:I3"/>
    <mergeCell ref="K5:L5"/>
    <mergeCell ref="E10:I10"/>
    <mergeCell ref="Q10:U10"/>
    <mergeCell ref="K10:O10"/>
    <mergeCell ref="M6:N6"/>
    <mergeCell ref="K7:L7"/>
    <mergeCell ref="M7:N7"/>
    <mergeCell ref="K8:L8"/>
    <mergeCell ref="M8:N8"/>
    <mergeCell ref="K6:L6"/>
    <mergeCell ref="K9:L9"/>
    <mergeCell ref="E8:F8"/>
    <mergeCell ref="E9:F9"/>
    <mergeCell ref="M9:N9"/>
    <mergeCell ref="G8:H8"/>
    <mergeCell ref="G9:H9"/>
  </mergeCells>
  <conditionalFormatting sqref="C6">
    <cfRule type="cellIs" dxfId="11" priority="5" operator="equal">
      <formula>1</formula>
    </cfRule>
    <cfRule type="cellIs" dxfId="10" priority="6" operator="greaterThan">
      <formula>1</formula>
    </cfRule>
    <cfRule type="cellIs" dxfId="9" priority="13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rocessSymbolData">
                <anchor moveWithCells="1" sizeWithCells="1">
                  <from>
                    <xdr:col>0</xdr:col>
                    <xdr:colOff>594360</xdr:colOff>
                    <xdr:row>7</xdr:row>
                    <xdr:rowOff>121920</xdr:rowOff>
                  </from>
                  <to>
                    <xdr:col>3</xdr:col>
                    <xdr:colOff>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941EC451-1485-4F57-BC35-9167943468F6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FCA4E5E4-6BC1-4BF0-BC2C-3088364E64E1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cellIs" priority="2" operator="equal" id="{18B75187-0975-4DA2-A6EE-2EC834D338A2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0ADA33AA-F24F-482F-ABED-C744D41D617F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greaterThan" id="{E1A8CC27-38BC-4018-9B9F-467D8A59AA22}">
            <xm:f>AppSettings!$B$5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cellIs" priority="1" operator="equal" id="{2AD5CC18-4105-4749-8454-011A5DE81125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operator="lessThan" id="{8829B939-4046-4697-AA2C-F6F1B0927E31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BDB5D7F6-17FC-4666-9BD2-A2F2DAA30B1F}">
            <xm:f>AppSettings!$B$6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cellIs" priority="7" operator="lessThan" id="{2A24BD22-88A2-4C39-821A-C2D2EC144087}">
            <xm:f>AppSettings!$B$7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391FAE-16AB-407F-A20E-6E9146A22FAD}">
          <x14:formula1>
            <xm:f>AppSettings!$D$2:$D$100</xm:f>
          </x14:formula1>
          <xm:sqref>Q12:Q22 K12:K13 E12:E13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DDBA-5C5B-4EA0-AB9C-7239AD91A967}">
  <sheetPr codeName="Sheet6">
    <tabColor theme="9" tint="0.59999389629810485"/>
  </sheetPr>
  <dimension ref="A1:C18"/>
  <sheetViews>
    <sheetView workbookViewId="0">
      <selection activeCell="N16" sqref="N16"/>
    </sheetView>
  </sheetViews>
  <sheetFormatPr defaultRowHeight="14.4" x14ac:dyDescent="0.3"/>
  <cols>
    <col min="2" max="2" width="6.77734375" style="6" customWidth="1"/>
    <col min="3" max="3" width="7.5546875" style="6" customWidth="1"/>
  </cols>
  <sheetData>
    <row r="1" spans="1:3" x14ac:dyDescent="0.3">
      <c r="A1" s="1" t="s">
        <v>42</v>
      </c>
      <c r="B1" s="14" t="s">
        <v>1</v>
      </c>
      <c r="C1" s="1" t="s">
        <v>34</v>
      </c>
    </row>
    <row r="2" spans="1:3" x14ac:dyDescent="0.3">
      <c r="A2" t="s">
        <v>14</v>
      </c>
      <c r="B2" s="6">
        <v>1.0000000000000004</v>
      </c>
      <c r="C2" s="6">
        <v>1.0000000000000002</v>
      </c>
    </row>
    <row r="3" spans="1:3" x14ac:dyDescent="0.3">
      <c r="A3" t="s">
        <v>49</v>
      </c>
      <c r="B3" s="6">
        <v>0.44064492789220744</v>
      </c>
      <c r="C3" s="6">
        <v>0.55958846408216822</v>
      </c>
    </row>
    <row r="4" spans="1:3" x14ac:dyDescent="0.3">
      <c r="A4" t="s">
        <v>50</v>
      </c>
      <c r="B4" s="6">
        <v>0</v>
      </c>
      <c r="C4" s="6">
        <v>0</v>
      </c>
    </row>
    <row r="5" spans="1:3" x14ac:dyDescent="0.3">
      <c r="A5" t="s">
        <v>2</v>
      </c>
      <c r="B5" s="6">
        <v>0.66251412644719976</v>
      </c>
      <c r="C5" s="6">
        <v>0.83155377314257817</v>
      </c>
    </row>
    <row r="6" spans="1:3" x14ac:dyDescent="0.3">
      <c r="A6" t="s">
        <v>3</v>
      </c>
      <c r="B6" s="6">
        <v>0.54970109240646425</v>
      </c>
      <c r="C6" s="6">
        <v>0.229123652960811</v>
      </c>
    </row>
    <row r="7" spans="1:3" x14ac:dyDescent="0.3">
      <c r="A7" t="s">
        <v>4</v>
      </c>
      <c r="B7" s="6">
        <v>1.0582754291678675</v>
      </c>
      <c r="C7" s="6">
        <v>0.55944797935038693</v>
      </c>
    </row>
    <row r="8" spans="1:3" x14ac:dyDescent="0.3">
      <c r="A8" t="s">
        <v>5</v>
      </c>
      <c r="B8" s="6">
        <v>1.1144956881734369</v>
      </c>
      <c r="C8" s="6">
        <v>0.49987346988022341</v>
      </c>
    </row>
    <row r="9" spans="1:3" x14ac:dyDescent="0.3">
      <c r="A9" t="s">
        <v>6</v>
      </c>
      <c r="B9" s="6">
        <v>0.55397893328566905</v>
      </c>
      <c r="C9" s="6">
        <v>0.20681285216205603</v>
      </c>
    </row>
    <row r="10" spans="1:3" x14ac:dyDescent="0.3">
      <c r="A10" t="s">
        <v>7</v>
      </c>
      <c r="B10" s="6">
        <v>0.84649436910470144</v>
      </c>
      <c r="C10" s="6">
        <v>0.68509352752188235</v>
      </c>
    </row>
    <row r="11" spans="1:3" x14ac:dyDescent="0.3">
      <c r="A11" t="s">
        <v>8</v>
      </c>
      <c r="B11" s="6">
        <v>1.0190304525517684</v>
      </c>
      <c r="C11" s="6">
        <v>0.64430203255553264</v>
      </c>
    </row>
    <row r="12" spans="1:3" x14ac:dyDescent="0.3">
      <c r="A12" t="s">
        <v>9</v>
      </c>
      <c r="B12" s="6">
        <v>0.80354630036836372</v>
      </c>
      <c r="C12" s="6">
        <v>0.35995915223036046</v>
      </c>
    </row>
    <row r="13" spans="1:3" x14ac:dyDescent="0.3">
      <c r="A13" t="s">
        <v>10</v>
      </c>
      <c r="B13" s="6">
        <v>0.97139562761979226</v>
      </c>
      <c r="C13" s="6">
        <v>0.73562790284403812</v>
      </c>
    </row>
    <row r="14" spans="1:3" x14ac:dyDescent="0.3">
      <c r="A14" t="s">
        <v>11</v>
      </c>
      <c r="B14" s="6">
        <v>0.90029180670770681</v>
      </c>
      <c r="C14" s="6">
        <v>0.57888645674631489</v>
      </c>
    </row>
    <row r="15" spans="1:3" x14ac:dyDescent="0.3">
      <c r="A15" t="s">
        <v>12</v>
      </c>
      <c r="B15" s="6">
        <v>0.4781256120686973</v>
      </c>
      <c r="C15" s="6">
        <v>0.37818586609722121</v>
      </c>
    </row>
    <row r="16" spans="1:3" x14ac:dyDescent="0.3">
      <c r="A16" t="s">
        <v>23</v>
      </c>
      <c r="B16" s="6">
        <v>1.0439859148768327</v>
      </c>
      <c r="C16" s="6">
        <v>0.85151944339057728</v>
      </c>
    </row>
    <row r="17" spans="1:3" x14ac:dyDescent="0.3">
      <c r="A17" t="s">
        <v>24</v>
      </c>
      <c r="B17" s="6">
        <v>0.44096854441692518</v>
      </c>
      <c r="C17" s="6">
        <v>0.55792053122034835</v>
      </c>
    </row>
    <row r="18" spans="1:3" x14ac:dyDescent="0.3">
      <c r="A18" t="s">
        <v>44</v>
      </c>
      <c r="B18" s="6">
        <v>-2.1302175317995651E-3</v>
      </c>
      <c r="C18" s="6">
        <v>-0.15657199071714351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740C-0F6A-4115-876B-E1F578773E5D}">
  <sheetPr codeName="Sheet5">
    <tabColor rgb="FFC6E0B4"/>
  </sheetPr>
  <dimension ref="A1:G99"/>
  <sheetViews>
    <sheetView workbookViewId="0">
      <selection activeCell="A92" sqref="A92"/>
    </sheetView>
  </sheetViews>
  <sheetFormatPr defaultRowHeight="14.4" x14ac:dyDescent="0.3"/>
  <cols>
    <col min="1" max="1" width="27.5546875" style="3" customWidth="1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558.95000000000005</v>
      </c>
      <c r="C2">
        <v>527.85</v>
      </c>
      <c r="D2">
        <v>544.19000000000005</v>
      </c>
      <c r="E2">
        <v>534.17999999999995</v>
      </c>
      <c r="F2"/>
      <c r="G2"/>
    </row>
    <row r="3" spans="1:7" x14ac:dyDescent="0.3">
      <c r="A3">
        <v>44134</v>
      </c>
      <c r="B3">
        <v>544.66999999999996</v>
      </c>
      <c r="C3">
        <v>519.98</v>
      </c>
      <c r="D3">
        <v>534.17999999999995</v>
      </c>
      <c r="E3">
        <v>520.79999999999995</v>
      </c>
      <c r="F3">
        <v>2.5047736717960234E-2</v>
      </c>
      <c r="G3">
        <v>1.2334210662125256E-2</v>
      </c>
    </row>
    <row r="4" spans="1:7" x14ac:dyDescent="0.3">
      <c r="A4">
        <v>44135</v>
      </c>
      <c r="B4">
        <v>535.99</v>
      </c>
      <c r="C4">
        <v>521.08000000000004</v>
      </c>
      <c r="D4">
        <v>520.79999999999995</v>
      </c>
      <c r="E4">
        <v>524.53</v>
      </c>
      <c r="F4">
        <v>-7.16205837173578E-3</v>
      </c>
      <c r="G4">
        <v>-1.0476538823283477E-2</v>
      </c>
    </row>
    <row r="5" spans="1:7" x14ac:dyDescent="0.3">
      <c r="A5">
        <v>44136</v>
      </c>
      <c r="B5">
        <v>541.66</v>
      </c>
      <c r="C5">
        <v>522.53</v>
      </c>
      <c r="D5">
        <v>524.53</v>
      </c>
      <c r="E5">
        <v>540.84</v>
      </c>
      <c r="F5">
        <v>-3.1094503650887617E-2</v>
      </c>
      <c r="G5">
        <v>-2.5803449078263707E-2</v>
      </c>
    </row>
    <row r="6" spans="1:7" x14ac:dyDescent="0.3">
      <c r="A6">
        <v>44137</v>
      </c>
      <c r="B6">
        <v>547.19000000000005</v>
      </c>
      <c r="C6">
        <v>521.27</v>
      </c>
      <c r="D6">
        <v>540.84</v>
      </c>
      <c r="E6">
        <v>525.34</v>
      </c>
      <c r="F6">
        <v>2.8659122845943297E-2</v>
      </c>
      <c r="G6">
        <v>3.3119092627599156E-2</v>
      </c>
    </row>
    <row r="7" spans="1:7" x14ac:dyDescent="0.3">
      <c r="A7">
        <v>44138</v>
      </c>
      <c r="B7">
        <v>525.88</v>
      </c>
      <c r="C7">
        <v>502.46</v>
      </c>
      <c r="D7">
        <v>524.39</v>
      </c>
      <c r="E7">
        <v>521.01</v>
      </c>
      <c r="F7">
        <v>8.2422811893251291E-3</v>
      </c>
      <c r="G7">
        <v>-1.191314095044449E-2</v>
      </c>
    </row>
    <row r="8" spans="1:7" x14ac:dyDescent="0.3">
      <c r="A8">
        <v>44139</v>
      </c>
      <c r="B8">
        <v>530.77</v>
      </c>
      <c r="C8">
        <v>515.48</v>
      </c>
      <c r="D8">
        <v>522.39</v>
      </c>
      <c r="E8">
        <v>522.99</v>
      </c>
      <c r="F8">
        <v>-3.8003109345310371E-3</v>
      </c>
      <c r="G8">
        <v>-3.730228244628786E-2</v>
      </c>
    </row>
    <row r="9" spans="1:7" x14ac:dyDescent="0.3">
      <c r="A9">
        <v>44140</v>
      </c>
      <c r="B9">
        <v>582.03</v>
      </c>
      <c r="C9">
        <v>531.79999999999995</v>
      </c>
      <c r="D9">
        <v>522.99</v>
      </c>
      <c r="E9">
        <v>531.79999999999995</v>
      </c>
      <c r="F9">
        <v>-1.6845446375647555E-2</v>
      </c>
      <c r="G9">
        <v>-3.5339989072666667E-2</v>
      </c>
    </row>
    <row r="10" spans="1:7" x14ac:dyDescent="0.3">
      <c r="A10">
        <v>44141</v>
      </c>
      <c r="B10">
        <v>546.97</v>
      </c>
      <c r="C10">
        <v>523.04</v>
      </c>
      <c r="D10">
        <v>531.84</v>
      </c>
      <c r="E10">
        <v>541.82000000000005</v>
      </c>
      <c r="F10">
        <v>-1.884166980067703E-2</v>
      </c>
      <c r="G10">
        <v>-9.4581304420830348E-2</v>
      </c>
    </row>
    <row r="11" spans="1:7" x14ac:dyDescent="0.3">
      <c r="A11">
        <v>44142</v>
      </c>
      <c r="B11">
        <v>530.91</v>
      </c>
      <c r="C11">
        <v>504.5</v>
      </c>
      <c r="D11">
        <v>541.46</v>
      </c>
      <c r="E11">
        <v>520.23</v>
      </c>
      <c r="F11">
        <v>3.9847181720866764E-2</v>
      </c>
      <c r="G11">
        <v>4.4924614305750343E-2</v>
      </c>
    </row>
    <row r="12" spans="1:7" x14ac:dyDescent="0.3">
      <c r="A12">
        <v>44143</v>
      </c>
      <c r="B12">
        <v>539.97</v>
      </c>
      <c r="C12">
        <v>510.56</v>
      </c>
      <c r="D12">
        <v>519.55999999999995</v>
      </c>
      <c r="E12">
        <v>535.98</v>
      </c>
      <c r="F12">
        <v>-3.0275070641831547E-2</v>
      </c>
      <c r="G12">
        <v>-4.3412417970721817E-2</v>
      </c>
    </row>
    <row r="13" spans="1:7" x14ac:dyDescent="0.3">
      <c r="A13">
        <v>44144</v>
      </c>
      <c r="B13">
        <v>531.82000000000005</v>
      </c>
      <c r="C13">
        <v>522.91999999999996</v>
      </c>
      <c r="D13">
        <v>534.80999999999995</v>
      </c>
      <c r="E13">
        <v>525.07000000000005</v>
      </c>
      <c r="F13">
        <v>2.0355237135713966E-2</v>
      </c>
      <c r="G13">
        <v>2.2628315081145267E-2</v>
      </c>
    </row>
    <row r="14" spans="1:7" x14ac:dyDescent="0.3">
      <c r="A14">
        <v>44145</v>
      </c>
      <c r="B14">
        <v>559.69000000000005</v>
      </c>
      <c r="C14">
        <v>520.88</v>
      </c>
      <c r="D14">
        <v>523.49</v>
      </c>
      <c r="E14">
        <v>552.82000000000005</v>
      </c>
      <c r="F14">
        <v>-5.2850096177652572E-2</v>
      </c>
      <c r="G14">
        <v>-1.4422319721003607E-2</v>
      </c>
    </row>
    <row r="15" spans="1:7" x14ac:dyDescent="0.3">
      <c r="A15">
        <v>44146</v>
      </c>
      <c r="B15">
        <v>570.16999999999996</v>
      </c>
      <c r="C15">
        <v>542.21</v>
      </c>
      <c r="D15">
        <v>552.98</v>
      </c>
      <c r="E15">
        <v>544.55999999999995</v>
      </c>
      <c r="F15">
        <v>1.4941572302015316E-2</v>
      </c>
      <c r="G15">
        <v>-2.8944683493767442E-2</v>
      </c>
    </row>
    <row r="16" spans="1:7" x14ac:dyDescent="0.3">
      <c r="A16">
        <v>44147</v>
      </c>
      <c r="B16">
        <v>552.29999999999995</v>
      </c>
      <c r="C16">
        <v>524.16</v>
      </c>
      <c r="D16">
        <v>543.4</v>
      </c>
      <c r="E16">
        <v>533.9</v>
      </c>
      <c r="F16">
        <v>1.9575437050095457E-2</v>
      </c>
      <c r="G16">
        <v>2.4358172921472576E-3</v>
      </c>
    </row>
    <row r="17" spans="1:7" x14ac:dyDescent="0.3">
      <c r="A17">
        <v>44148</v>
      </c>
      <c r="B17">
        <v>556.91999999999996</v>
      </c>
      <c r="C17">
        <v>531.12</v>
      </c>
      <c r="D17">
        <v>533.9</v>
      </c>
      <c r="E17">
        <v>556.91999999999996</v>
      </c>
      <c r="F17">
        <v>-4.3116688518449076E-2</v>
      </c>
      <c r="G17">
        <v>-3.0446432430096371E-2</v>
      </c>
    </row>
    <row r="18" spans="1:7" x14ac:dyDescent="0.3">
      <c r="A18">
        <v>44149</v>
      </c>
      <c r="B18">
        <v>557.79</v>
      </c>
      <c r="C18">
        <v>520.16999999999996</v>
      </c>
      <c r="D18">
        <v>556.91999999999996</v>
      </c>
      <c r="E18">
        <v>529.51</v>
      </c>
      <c r="F18">
        <v>4.9217122746534447E-2</v>
      </c>
      <c r="G18">
        <v>3.3216599911925715E-2</v>
      </c>
    </row>
    <row r="19" spans="1:7" x14ac:dyDescent="0.3">
      <c r="A19">
        <v>44150</v>
      </c>
      <c r="B19">
        <v>542.88</v>
      </c>
      <c r="C19">
        <v>501.53</v>
      </c>
      <c r="D19">
        <v>529.51</v>
      </c>
      <c r="E19">
        <v>516.41999999999996</v>
      </c>
      <c r="F19">
        <v>2.4720968442522362E-2</v>
      </c>
      <c r="G19">
        <v>2.7156584170227482E-2</v>
      </c>
    </row>
    <row r="20" spans="1:7" x14ac:dyDescent="0.3">
      <c r="A20">
        <v>44151</v>
      </c>
      <c r="B20">
        <v>534.96</v>
      </c>
      <c r="C20">
        <v>508.3</v>
      </c>
      <c r="D20">
        <v>516.41999999999996</v>
      </c>
      <c r="E20">
        <v>517.66999999999996</v>
      </c>
      <c r="F20">
        <v>-2.420510437241008E-3</v>
      </c>
      <c r="G20">
        <v>-2.7870058638603368E-2</v>
      </c>
    </row>
    <row r="21" spans="1:7" x14ac:dyDescent="0.3">
      <c r="A21">
        <v>44152</v>
      </c>
      <c r="B21">
        <v>530.77</v>
      </c>
      <c r="C21">
        <v>512.01</v>
      </c>
      <c r="D21">
        <v>517.66999999999996</v>
      </c>
      <c r="E21">
        <v>525.75</v>
      </c>
      <c r="F21">
        <v>-1.5608399173218546E-2</v>
      </c>
      <c r="G21">
        <v>-4.7070562460684195E-2</v>
      </c>
    </row>
    <row r="22" spans="1:7" x14ac:dyDescent="0.3">
      <c r="A22">
        <v>44153</v>
      </c>
      <c r="B22">
        <v>537.36</v>
      </c>
      <c r="C22">
        <v>505.54</v>
      </c>
      <c r="D22">
        <v>525.75</v>
      </c>
      <c r="E22">
        <v>509.54</v>
      </c>
      <c r="F22">
        <v>3.0832144555397067E-2</v>
      </c>
      <c r="G22">
        <v>8.1829669988191522E-3</v>
      </c>
    </row>
    <row r="23" spans="1:7" x14ac:dyDescent="0.3">
      <c r="A23">
        <v>44154</v>
      </c>
      <c r="B23">
        <v>527.44000000000005</v>
      </c>
      <c r="C23">
        <v>500.81</v>
      </c>
      <c r="D23">
        <v>509.54</v>
      </c>
      <c r="E23">
        <v>510.21</v>
      </c>
      <c r="F23">
        <v>-1.3149114887938129E-3</v>
      </c>
      <c r="G23">
        <v>1.4495780766981325E-2</v>
      </c>
    </row>
    <row r="24" spans="1:7" x14ac:dyDescent="0.3">
      <c r="A24">
        <v>44155</v>
      </c>
      <c r="B24">
        <v>526.99</v>
      </c>
      <c r="C24">
        <v>506</v>
      </c>
      <c r="D24">
        <v>510.21</v>
      </c>
      <c r="E24">
        <v>516.29</v>
      </c>
      <c r="F24">
        <v>-1.1916661766723458E-2</v>
      </c>
      <c r="G24">
        <v>-8.1832054597092085E-2</v>
      </c>
    </row>
    <row r="25" spans="1:7" x14ac:dyDescent="0.3">
      <c r="A25">
        <v>44156</v>
      </c>
      <c r="B25">
        <v>553.30999999999995</v>
      </c>
      <c r="C25">
        <v>515.9</v>
      </c>
      <c r="D25">
        <v>516.29</v>
      </c>
      <c r="E25">
        <v>551.73</v>
      </c>
      <c r="F25">
        <v>-6.8643591779813828E-2</v>
      </c>
      <c r="G25">
        <v>-8.195051231314765E-2</v>
      </c>
    </row>
    <row r="26" spans="1:7" x14ac:dyDescent="0.3">
      <c r="A26">
        <v>44157</v>
      </c>
      <c r="B26">
        <v>585.49</v>
      </c>
      <c r="C26">
        <v>515.16</v>
      </c>
      <c r="D26">
        <v>551.73</v>
      </c>
      <c r="E26">
        <v>563.99</v>
      </c>
      <c r="F26">
        <v>-2.2221013901727371E-2</v>
      </c>
      <c r="G26">
        <v>-1.4033245210589129E-2</v>
      </c>
    </row>
    <row r="27" spans="1:7" x14ac:dyDescent="0.3">
      <c r="A27">
        <v>44158</v>
      </c>
      <c r="B27">
        <v>605.99</v>
      </c>
      <c r="C27">
        <v>558.55999999999995</v>
      </c>
      <c r="D27">
        <v>563.79</v>
      </c>
      <c r="E27">
        <v>601.77</v>
      </c>
      <c r="F27">
        <v>-6.6987003315661653E-2</v>
      </c>
      <c r="G27">
        <v>-8.7712719415724782E-2</v>
      </c>
    </row>
    <row r="28" spans="1:7" x14ac:dyDescent="0.3">
      <c r="A28">
        <v>44159</v>
      </c>
      <c r="B28">
        <v>618.13</v>
      </c>
      <c r="C28">
        <v>578.64</v>
      </c>
      <c r="D28">
        <v>601.70000000000005</v>
      </c>
      <c r="E28">
        <v>600.52</v>
      </c>
      <c r="F28">
        <v>2.0772055768815134E-3</v>
      </c>
      <c r="G28">
        <v>6.8129955838654999E-3</v>
      </c>
    </row>
    <row r="29" spans="1:7" x14ac:dyDescent="0.3">
      <c r="A29">
        <v>44160</v>
      </c>
      <c r="B29">
        <v>613.91999999999996</v>
      </c>
      <c r="C29">
        <v>546.1</v>
      </c>
      <c r="D29">
        <v>600.52</v>
      </c>
      <c r="E29">
        <v>562.24</v>
      </c>
      <c r="F29">
        <v>6.374475454605999E-2</v>
      </c>
      <c r="G29">
        <v>5.8811861549142197E-2</v>
      </c>
    </row>
    <row r="30" spans="1:7" x14ac:dyDescent="0.3">
      <c r="A30">
        <v>44161</v>
      </c>
      <c r="B30">
        <v>552.20000000000005</v>
      </c>
      <c r="C30">
        <v>502.91</v>
      </c>
      <c r="D30">
        <v>562.33000000000004</v>
      </c>
      <c r="E30">
        <v>526.96</v>
      </c>
      <c r="F30">
        <v>6.2749003984063689E-2</v>
      </c>
      <c r="G30">
        <v>8.6371619248331477E-2</v>
      </c>
    </row>
    <row r="31" spans="1:7" x14ac:dyDescent="0.3">
      <c r="A31">
        <v>44162</v>
      </c>
      <c r="B31">
        <v>545.62</v>
      </c>
      <c r="C31">
        <v>508.17</v>
      </c>
      <c r="D31">
        <v>526.59</v>
      </c>
      <c r="E31">
        <v>514.39</v>
      </c>
      <c r="F31">
        <v>2.3853802945195124E-2</v>
      </c>
      <c r="G31">
        <v>2.671946484179788E-3</v>
      </c>
    </row>
    <row r="32" spans="1:7" x14ac:dyDescent="0.3">
      <c r="A32">
        <v>44163</v>
      </c>
      <c r="B32">
        <v>532.91</v>
      </c>
      <c r="C32">
        <v>508.45</v>
      </c>
      <c r="D32">
        <v>514.39</v>
      </c>
      <c r="E32">
        <v>532.16</v>
      </c>
      <c r="F32">
        <v>-3.4545772662765595E-2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FC46-543C-4566-B37E-8CCFBBBB9470}">
  <sheetPr codeName="Sheet8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3.8490000000000002</v>
      </c>
      <c r="C2">
        <v>3.2349999999999999</v>
      </c>
      <c r="D2">
        <v>3.6150000000000002</v>
      </c>
      <c r="E2">
        <v>3.246</v>
      </c>
      <c r="F2"/>
      <c r="G2"/>
    </row>
    <row r="3" spans="1:7" x14ac:dyDescent="0.3">
      <c r="A3">
        <v>44134</v>
      </c>
      <c r="B3">
        <v>3.3029999999999999</v>
      </c>
      <c r="C3">
        <v>3.0329999999999999</v>
      </c>
      <c r="D3">
        <v>3.246</v>
      </c>
      <c r="E3">
        <v>3.1070000000000002</v>
      </c>
      <c r="F3">
        <v>4.2821934688847763E-2</v>
      </c>
      <c r="G3">
        <v>1.2334210662125256E-2</v>
      </c>
    </row>
    <row r="4" spans="1:7" x14ac:dyDescent="0.3">
      <c r="A4">
        <v>44135</v>
      </c>
      <c r="B4">
        <v>3.1829999999999998</v>
      </c>
      <c r="C4">
        <v>3.0089999999999999</v>
      </c>
      <c r="D4">
        <v>3.1070000000000002</v>
      </c>
      <c r="E4">
        <v>3.0230000000000001</v>
      </c>
      <c r="F4">
        <v>2.7035725780495623E-2</v>
      </c>
      <c r="G4">
        <v>-1.0476538823283477E-2</v>
      </c>
    </row>
    <row r="5" spans="1:7" x14ac:dyDescent="0.3">
      <c r="A5">
        <v>44136</v>
      </c>
      <c r="B5">
        <v>3.0190000000000001</v>
      </c>
      <c r="C5">
        <v>2.774</v>
      </c>
      <c r="D5">
        <v>3.0230000000000001</v>
      </c>
      <c r="E5">
        <v>2.9049999999999998</v>
      </c>
      <c r="F5">
        <v>3.9034072113794394E-2</v>
      </c>
      <c r="G5">
        <v>-2.5803449078263707E-2</v>
      </c>
    </row>
    <row r="6" spans="1:7" x14ac:dyDescent="0.3">
      <c r="A6">
        <v>44137</v>
      </c>
      <c r="B6">
        <v>2.9729999999999999</v>
      </c>
      <c r="C6">
        <v>2.6150000000000002</v>
      </c>
      <c r="D6">
        <v>2.9049999999999998</v>
      </c>
      <c r="E6">
        <v>2.6219999999999999</v>
      </c>
      <c r="F6">
        <v>9.7418244406196175E-2</v>
      </c>
      <c r="G6">
        <v>3.3119092627599156E-2</v>
      </c>
    </row>
    <row r="7" spans="1:7" x14ac:dyDescent="0.3">
      <c r="A7">
        <v>44138</v>
      </c>
      <c r="B7">
        <v>2.7109999999999999</v>
      </c>
      <c r="C7">
        <v>2.5329999999999999</v>
      </c>
      <c r="D7">
        <v>2.6219999999999999</v>
      </c>
      <c r="E7">
        <v>2.5750000000000002</v>
      </c>
      <c r="F7">
        <v>1.7925247902364494E-2</v>
      </c>
      <c r="G7">
        <v>-1.191314095044449E-2</v>
      </c>
    </row>
    <row r="8" spans="1:7" x14ac:dyDescent="0.3">
      <c r="A8">
        <v>44139</v>
      </c>
      <c r="B8">
        <v>2.7709999999999999</v>
      </c>
      <c r="C8">
        <v>2.5169999999999999</v>
      </c>
      <c r="D8">
        <v>2.5750000000000002</v>
      </c>
      <c r="E8">
        <v>2.7269999999999999</v>
      </c>
      <c r="F8">
        <v>-5.902912621359202E-2</v>
      </c>
      <c r="G8">
        <v>-3.730228244628786E-2</v>
      </c>
    </row>
    <row r="9" spans="1:7" x14ac:dyDescent="0.3">
      <c r="A9">
        <v>44140</v>
      </c>
      <c r="B9">
        <v>3.3460000000000001</v>
      </c>
      <c r="C9">
        <v>2.677</v>
      </c>
      <c r="D9">
        <v>2.7269999999999999</v>
      </c>
      <c r="E9">
        <v>3.1619999999999999</v>
      </c>
      <c r="F9">
        <v>-0.15951595159515963</v>
      </c>
      <c r="G9">
        <v>-3.5339989072666667E-2</v>
      </c>
    </row>
    <row r="10" spans="1:7" x14ac:dyDescent="0.3">
      <c r="A10">
        <v>44141</v>
      </c>
      <c r="B10">
        <v>3.7120000000000002</v>
      </c>
      <c r="C10">
        <v>3.1589999999999998</v>
      </c>
      <c r="D10">
        <v>3.1619999999999999</v>
      </c>
      <c r="E10">
        <v>3.5419999999999998</v>
      </c>
      <c r="F10">
        <v>-0.12017710309930418</v>
      </c>
      <c r="G10">
        <v>-9.4581304420830348E-2</v>
      </c>
    </row>
    <row r="11" spans="1:7" x14ac:dyDescent="0.3">
      <c r="A11">
        <v>44142</v>
      </c>
      <c r="B11">
        <v>4.5970000000000004</v>
      </c>
      <c r="C11">
        <v>3.55</v>
      </c>
      <c r="D11">
        <v>3.5609999999999999</v>
      </c>
      <c r="E11">
        <v>3.8170000000000002</v>
      </c>
      <c r="F11">
        <v>-7.7639751552795122E-2</v>
      </c>
      <c r="G11">
        <v>4.4924614305750343E-2</v>
      </c>
    </row>
    <row r="12" spans="1:7" x14ac:dyDescent="0.3">
      <c r="A12">
        <v>44143</v>
      </c>
      <c r="B12">
        <v>4.5</v>
      </c>
      <c r="C12">
        <v>3.7370000000000001</v>
      </c>
      <c r="D12">
        <v>3.8170000000000002</v>
      </c>
      <c r="E12">
        <v>4.407</v>
      </c>
      <c r="F12">
        <v>-0.15457165313073085</v>
      </c>
      <c r="G12">
        <v>-4.3412417970721817E-2</v>
      </c>
    </row>
    <row r="13" spans="1:7" x14ac:dyDescent="0.3">
      <c r="A13">
        <v>44144</v>
      </c>
      <c r="B13">
        <v>4.532</v>
      </c>
      <c r="C13">
        <v>4.0650000000000004</v>
      </c>
      <c r="D13">
        <v>4.4130000000000003</v>
      </c>
      <c r="E13">
        <v>4.24</v>
      </c>
      <c r="F13">
        <v>3.7894259133197106E-2</v>
      </c>
      <c r="G13">
        <v>2.2628315081145267E-2</v>
      </c>
    </row>
    <row r="14" spans="1:7" x14ac:dyDescent="0.3">
      <c r="A14">
        <v>44145</v>
      </c>
      <c r="B14">
        <v>5.1420000000000003</v>
      </c>
      <c r="C14">
        <v>4.1470000000000002</v>
      </c>
      <c r="D14">
        <v>4.24</v>
      </c>
      <c r="E14">
        <v>4.681</v>
      </c>
      <c r="F14">
        <v>-0.10400943396226414</v>
      </c>
      <c r="G14">
        <v>-1.4422319721003607E-2</v>
      </c>
    </row>
    <row r="15" spans="1:7" x14ac:dyDescent="0.3">
      <c r="A15">
        <v>44146</v>
      </c>
      <c r="B15">
        <v>4.8579999999999997</v>
      </c>
      <c r="C15">
        <v>3.9710000000000001</v>
      </c>
      <c r="D15">
        <v>4.681</v>
      </c>
      <c r="E15">
        <v>3.9969999999999999</v>
      </c>
      <c r="F15">
        <v>0.14612262337107462</v>
      </c>
      <c r="G15">
        <v>-2.8944683493767442E-2</v>
      </c>
    </row>
    <row r="16" spans="1:7" x14ac:dyDescent="0.3">
      <c r="A16">
        <v>44147</v>
      </c>
      <c r="B16">
        <v>4.3899999999999997</v>
      </c>
      <c r="C16">
        <v>3.734</v>
      </c>
      <c r="D16">
        <v>3.9969999999999999</v>
      </c>
      <c r="E16">
        <v>3.7749999999999999</v>
      </c>
      <c r="F16">
        <v>5.5541656242181658E-2</v>
      </c>
      <c r="G16">
        <v>2.4358172921472576E-3</v>
      </c>
    </row>
    <row r="17" spans="1:7" x14ac:dyDescent="0.3">
      <c r="A17">
        <v>44148</v>
      </c>
      <c r="B17">
        <v>4.4649999999999999</v>
      </c>
      <c r="C17">
        <v>3.4540000000000002</v>
      </c>
      <c r="D17">
        <v>3.7909999999999999</v>
      </c>
      <c r="E17">
        <v>4.2069999999999999</v>
      </c>
      <c r="F17">
        <v>-0.1144370860927153</v>
      </c>
      <c r="G17">
        <v>-3.0446432430096371E-2</v>
      </c>
    </row>
    <row r="18" spans="1:7" x14ac:dyDescent="0.3">
      <c r="A18">
        <v>44149</v>
      </c>
      <c r="B18">
        <v>4.556</v>
      </c>
      <c r="C18">
        <v>3.9260000000000002</v>
      </c>
      <c r="D18">
        <v>4.2300000000000004</v>
      </c>
      <c r="E18">
        <v>4.3159999999999998</v>
      </c>
      <c r="F18">
        <v>-2.5909198954124024E-2</v>
      </c>
      <c r="G18">
        <v>3.3216599911925715E-2</v>
      </c>
    </row>
    <row r="19" spans="1:7" x14ac:dyDescent="0.3">
      <c r="A19">
        <v>44150</v>
      </c>
      <c r="B19">
        <v>4.5469999999999997</v>
      </c>
      <c r="C19">
        <v>3.9910000000000001</v>
      </c>
      <c r="D19">
        <v>4.3159999999999998</v>
      </c>
      <c r="E19">
        <v>4.1349999999999998</v>
      </c>
      <c r="F19">
        <v>4.1936978683966619E-2</v>
      </c>
      <c r="G19">
        <v>2.7156584170227482E-2</v>
      </c>
    </row>
    <row r="20" spans="1:7" x14ac:dyDescent="0.3">
      <c r="A20">
        <v>44151</v>
      </c>
      <c r="B20">
        <v>4.5869999999999997</v>
      </c>
      <c r="C20">
        <v>4.2370000000000001</v>
      </c>
      <c r="D20">
        <v>4.1349999999999998</v>
      </c>
      <c r="E20">
        <v>4.4260000000000002</v>
      </c>
      <c r="F20">
        <v>-7.0374848851269656E-2</v>
      </c>
      <c r="G20">
        <v>-2.7870058638603368E-2</v>
      </c>
    </row>
    <row r="21" spans="1:7" x14ac:dyDescent="0.3">
      <c r="A21">
        <v>44152</v>
      </c>
      <c r="B21">
        <v>5.2939999999999996</v>
      </c>
      <c r="C21">
        <v>4.633</v>
      </c>
      <c r="D21">
        <v>4.4260000000000002</v>
      </c>
      <c r="E21">
        <v>5.085</v>
      </c>
      <c r="F21">
        <v>-0.14889290555806589</v>
      </c>
      <c r="G21">
        <v>-4.7070562460684195E-2</v>
      </c>
    </row>
    <row r="22" spans="1:7" x14ac:dyDescent="0.3">
      <c r="A22">
        <v>44153</v>
      </c>
      <c r="B22">
        <v>5.2220000000000004</v>
      </c>
      <c r="C22">
        <v>4.5389999999999997</v>
      </c>
      <c r="D22">
        <v>5.085</v>
      </c>
      <c r="E22">
        <v>4.8789999999999996</v>
      </c>
      <c r="F22">
        <v>4.0511307767944982E-2</v>
      </c>
      <c r="G22">
        <v>8.1829669988191522E-3</v>
      </c>
    </row>
    <row r="23" spans="1:7" x14ac:dyDescent="0.3">
      <c r="A23">
        <v>44154</v>
      </c>
      <c r="B23">
        <v>5.2050000000000001</v>
      </c>
      <c r="C23">
        <v>4.681</v>
      </c>
      <c r="D23">
        <v>4.8789999999999996</v>
      </c>
      <c r="E23">
        <v>4.9870000000000001</v>
      </c>
      <c r="F23">
        <v>-2.2135683541709472E-2</v>
      </c>
      <c r="G23">
        <v>1.4495780766981325E-2</v>
      </c>
    </row>
    <row r="24" spans="1:7" x14ac:dyDescent="0.3">
      <c r="A24">
        <v>44155</v>
      </c>
      <c r="B24">
        <v>5.8019999999999996</v>
      </c>
      <c r="C24">
        <v>5.0999999999999996</v>
      </c>
      <c r="D24">
        <v>4.9870000000000001</v>
      </c>
      <c r="E24">
        <v>5.1349999999999998</v>
      </c>
      <c r="F24">
        <v>-2.9677160617605614E-2</v>
      </c>
      <c r="G24">
        <v>-8.1832054597092085E-2</v>
      </c>
    </row>
    <row r="25" spans="1:7" x14ac:dyDescent="0.3">
      <c r="A25">
        <v>44156</v>
      </c>
      <c r="B25">
        <v>5.5460000000000003</v>
      </c>
      <c r="C25">
        <v>5.1159999999999997</v>
      </c>
      <c r="D25">
        <v>5.1349999999999998</v>
      </c>
      <c r="E25">
        <v>5.2610000000000001</v>
      </c>
      <c r="F25">
        <v>-2.453748782862708E-2</v>
      </c>
      <c r="G25">
        <v>-8.195051231314765E-2</v>
      </c>
    </row>
    <row r="26" spans="1:7" x14ac:dyDescent="0.3">
      <c r="A26">
        <v>44157</v>
      </c>
      <c r="B26">
        <v>5.2489999999999997</v>
      </c>
      <c r="C26">
        <v>4.8120000000000003</v>
      </c>
      <c r="D26">
        <v>5.2610000000000001</v>
      </c>
      <c r="E26">
        <v>5.008</v>
      </c>
      <c r="F26">
        <v>4.8089716783881409E-2</v>
      </c>
      <c r="G26">
        <v>-1.4033245210589129E-2</v>
      </c>
    </row>
    <row r="27" spans="1:7" x14ac:dyDescent="0.3">
      <c r="A27">
        <v>44158</v>
      </c>
      <c r="B27">
        <v>5.54</v>
      </c>
      <c r="C27">
        <v>4.9950000000000001</v>
      </c>
      <c r="D27">
        <v>5.008</v>
      </c>
      <c r="E27">
        <v>5.4550000000000001</v>
      </c>
      <c r="F27">
        <v>-8.9257188498402584E-2</v>
      </c>
      <c r="G27">
        <v>-8.7712719415724782E-2</v>
      </c>
    </row>
    <row r="28" spans="1:7" x14ac:dyDescent="0.3">
      <c r="A28">
        <v>44159</v>
      </c>
      <c r="B28">
        <v>6.1130000000000004</v>
      </c>
      <c r="C28">
        <v>5.1710000000000003</v>
      </c>
      <c r="D28">
        <v>5.4550000000000001</v>
      </c>
      <c r="E28">
        <v>5.2359999999999998</v>
      </c>
      <c r="F28">
        <v>4.0146654445462948E-2</v>
      </c>
      <c r="G28">
        <v>6.8129955838654999E-3</v>
      </c>
    </row>
    <row r="29" spans="1:7" x14ac:dyDescent="0.3">
      <c r="A29">
        <v>44160</v>
      </c>
      <c r="B29">
        <v>5.2380000000000004</v>
      </c>
      <c r="C29">
        <v>4.5730000000000004</v>
      </c>
      <c r="D29">
        <v>5.2359999999999998</v>
      </c>
      <c r="E29">
        <v>4.8140000000000001</v>
      </c>
      <c r="F29">
        <v>8.0595874713521698E-2</v>
      </c>
      <c r="G29">
        <v>5.8811861549142197E-2</v>
      </c>
    </row>
    <row r="30" spans="1:7" x14ac:dyDescent="0.3">
      <c r="A30">
        <v>44161</v>
      </c>
      <c r="B30">
        <v>4.4210000000000003</v>
      </c>
      <c r="C30">
        <v>3.375</v>
      </c>
      <c r="D30">
        <v>4.8140000000000001</v>
      </c>
      <c r="E30">
        <v>4.3440000000000003</v>
      </c>
      <c r="F30">
        <v>9.7631906938097202E-2</v>
      </c>
      <c r="G30">
        <v>8.6371619248331477E-2</v>
      </c>
    </row>
    <row r="31" spans="1:7" x14ac:dyDescent="0.3">
      <c r="A31">
        <v>44162</v>
      </c>
      <c r="B31">
        <v>4.5359999999999996</v>
      </c>
      <c r="C31">
        <v>4.0309999999999997</v>
      </c>
      <c r="D31">
        <v>4.3440000000000003</v>
      </c>
      <c r="E31">
        <v>4.1210000000000004</v>
      </c>
      <c r="F31">
        <v>5.133517495395945E-2</v>
      </c>
      <c r="G31">
        <v>2.671946484179788E-3</v>
      </c>
    </row>
    <row r="32" spans="1:7" x14ac:dyDescent="0.3">
      <c r="A32">
        <v>44163</v>
      </c>
      <c r="B32">
        <v>4.5190000000000001</v>
      </c>
      <c r="C32">
        <v>4.1210000000000004</v>
      </c>
      <c r="D32">
        <v>4.1210000000000004</v>
      </c>
      <c r="E32">
        <v>4.3369999999999997</v>
      </c>
      <c r="F32">
        <v>-5.2414462509099646E-2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4B33-830F-4241-B916-EF5D92F88246}">
  <sheetPr codeName="Sheet9">
    <tabColor rgb="FFC6E0B4"/>
  </sheetPr>
  <dimension ref="A1:G99"/>
  <sheetViews>
    <sheetView workbookViewId="0">
      <selection activeCell="F72" sqref="F72"/>
    </sheetView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2.7389999999999999</v>
      </c>
      <c r="C2">
        <v>2.4929999999999999</v>
      </c>
      <c r="D2">
        <v>2.665</v>
      </c>
      <c r="E2">
        <v>2.5409999999999999</v>
      </c>
      <c r="F2"/>
      <c r="G2"/>
    </row>
    <row r="3" spans="1:7" x14ac:dyDescent="0.3">
      <c r="A3">
        <v>44134</v>
      </c>
      <c r="B3">
        <v>2.5640000000000001</v>
      </c>
      <c r="C3">
        <v>2.2440000000000002</v>
      </c>
      <c r="D3">
        <v>2.5409999999999999</v>
      </c>
      <c r="E3">
        <v>2.4169999999999998</v>
      </c>
      <c r="F3">
        <v>4.879968516332156E-2</v>
      </c>
      <c r="G3">
        <v>1.2334210662125256E-2</v>
      </c>
    </row>
    <row r="4" spans="1:7" x14ac:dyDescent="0.3">
      <c r="A4">
        <v>44135</v>
      </c>
      <c r="B4">
        <v>2.4169999999999998</v>
      </c>
      <c r="C4">
        <v>2.2440000000000002</v>
      </c>
      <c r="D4">
        <v>2.4169999999999998</v>
      </c>
      <c r="E4">
        <v>2.2690000000000001</v>
      </c>
      <c r="F4">
        <v>6.1232933388498001E-2</v>
      </c>
      <c r="G4">
        <v>-1.0476538823283477E-2</v>
      </c>
    </row>
    <row r="5" spans="1:7" x14ac:dyDescent="0.3">
      <c r="A5">
        <v>44136</v>
      </c>
      <c r="B5">
        <v>2.4489999999999998</v>
      </c>
      <c r="C5">
        <v>2.2189999999999999</v>
      </c>
      <c r="D5">
        <v>2.2690000000000001</v>
      </c>
      <c r="E5">
        <v>2.379</v>
      </c>
      <c r="F5">
        <v>-4.8479506390480376E-2</v>
      </c>
      <c r="G5">
        <v>-2.5803449078263707E-2</v>
      </c>
    </row>
    <row r="6" spans="1:7" x14ac:dyDescent="0.3">
      <c r="A6">
        <v>44137</v>
      </c>
      <c r="B6">
        <v>2.4540000000000002</v>
      </c>
      <c r="C6">
        <v>2.2269999999999999</v>
      </c>
      <c r="D6">
        <v>2.379</v>
      </c>
      <c r="E6">
        <v>2.2559999999999998</v>
      </c>
      <c r="F6">
        <v>5.1702395964691172E-2</v>
      </c>
      <c r="G6">
        <v>3.3119092627599156E-2</v>
      </c>
    </row>
    <row r="7" spans="1:7" x14ac:dyDescent="0.3">
      <c r="A7">
        <v>44138</v>
      </c>
      <c r="B7">
        <v>2.286</v>
      </c>
      <c r="C7">
        <v>2.0569999999999999</v>
      </c>
      <c r="D7">
        <v>2.2559999999999998</v>
      </c>
      <c r="E7">
        <v>2.137</v>
      </c>
      <c r="F7">
        <v>5.2748226950354526E-2</v>
      </c>
      <c r="G7">
        <v>-1.191314095044449E-2</v>
      </c>
    </row>
    <row r="8" spans="1:7" x14ac:dyDescent="0.3">
      <c r="A8">
        <v>44139</v>
      </c>
      <c r="B8">
        <v>2.1659999999999999</v>
      </c>
      <c r="C8">
        <v>1.88</v>
      </c>
      <c r="D8">
        <v>2.137</v>
      </c>
      <c r="E8">
        <v>1.9279999999999999</v>
      </c>
      <c r="F8">
        <v>9.7800655124005598E-2</v>
      </c>
      <c r="G8">
        <v>-3.730228244628786E-2</v>
      </c>
    </row>
    <row r="9" spans="1:7" x14ac:dyDescent="0.3">
      <c r="A9">
        <v>44140</v>
      </c>
      <c r="B9">
        <v>2.415</v>
      </c>
      <c r="C9">
        <v>1.7609999999999999</v>
      </c>
      <c r="D9">
        <v>1.9279999999999999</v>
      </c>
      <c r="E9">
        <v>2.1949999999999998</v>
      </c>
      <c r="F9">
        <v>-0.13848547717842319</v>
      </c>
      <c r="G9">
        <v>-3.5339989072666667E-2</v>
      </c>
    </row>
    <row r="10" spans="1:7" x14ac:dyDescent="0.3">
      <c r="A10">
        <v>44141</v>
      </c>
      <c r="B10">
        <v>2.6869999999999998</v>
      </c>
      <c r="C10">
        <v>2.1789999999999998</v>
      </c>
      <c r="D10">
        <v>2.1949999999999998</v>
      </c>
      <c r="E10">
        <v>2.569</v>
      </c>
      <c r="F10">
        <v>-0.17038724373576319</v>
      </c>
      <c r="G10">
        <v>-9.4581304420830348E-2</v>
      </c>
    </row>
    <row r="11" spans="1:7" x14ac:dyDescent="0.3">
      <c r="A11">
        <v>44142</v>
      </c>
      <c r="B11">
        <v>3.0190000000000001</v>
      </c>
      <c r="C11">
        <v>2.4369999999999998</v>
      </c>
      <c r="D11">
        <v>2.569</v>
      </c>
      <c r="E11">
        <v>2.4769999999999999</v>
      </c>
      <c r="F11">
        <v>3.5811599844297382E-2</v>
      </c>
      <c r="G11">
        <v>4.4924614305750343E-2</v>
      </c>
    </row>
    <row r="12" spans="1:7" x14ac:dyDescent="0.3">
      <c r="A12">
        <v>44143</v>
      </c>
      <c r="B12">
        <v>2.92</v>
      </c>
      <c r="C12">
        <v>2.4409999999999998</v>
      </c>
      <c r="D12">
        <v>2.4769999999999999</v>
      </c>
      <c r="E12">
        <v>2.8660000000000001</v>
      </c>
      <c r="F12">
        <v>-0.15704481227291089</v>
      </c>
      <c r="G12">
        <v>-4.3412417970721817E-2</v>
      </c>
    </row>
    <row r="13" spans="1:7" x14ac:dyDescent="0.3">
      <c r="A13">
        <v>44144</v>
      </c>
      <c r="B13">
        <v>2.88</v>
      </c>
      <c r="C13">
        <v>2.5830000000000002</v>
      </c>
      <c r="D13">
        <v>2.8660000000000001</v>
      </c>
      <c r="E13">
        <v>2.6779999999999999</v>
      </c>
      <c r="F13">
        <v>6.559665038381024E-2</v>
      </c>
      <c r="G13">
        <v>2.2628315081145267E-2</v>
      </c>
    </row>
    <row r="14" spans="1:7" x14ac:dyDescent="0.3">
      <c r="A14">
        <v>44145</v>
      </c>
      <c r="B14">
        <v>3.1760000000000002</v>
      </c>
      <c r="C14">
        <v>2.629</v>
      </c>
      <c r="D14">
        <v>2.6779999999999999</v>
      </c>
      <c r="E14">
        <v>3.0739999999999998</v>
      </c>
      <c r="F14">
        <v>-0.14787154592979834</v>
      </c>
      <c r="G14">
        <v>-1.4422319721003607E-2</v>
      </c>
    </row>
    <row r="15" spans="1:7" x14ac:dyDescent="0.3">
      <c r="A15">
        <v>44146</v>
      </c>
      <c r="B15">
        <v>3.22</v>
      </c>
      <c r="C15">
        <v>2.8879999999999999</v>
      </c>
      <c r="D15">
        <v>3.0739999999999998</v>
      </c>
      <c r="E15">
        <v>2.9350000000000001</v>
      </c>
      <c r="F15">
        <v>4.5217957059206171E-2</v>
      </c>
      <c r="G15">
        <v>-2.8944683493767442E-2</v>
      </c>
    </row>
    <row r="16" spans="1:7" x14ac:dyDescent="0.3">
      <c r="A16">
        <v>44147</v>
      </c>
      <c r="B16">
        <v>3.137</v>
      </c>
      <c r="C16">
        <v>2.8439999999999999</v>
      </c>
      <c r="D16">
        <v>2.9350000000000001</v>
      </c>
      <c r="E16">
        <v>2.9609999999999999</v>
      </c>
      <c r="F16">
        <v>-8.8586030664394855E-3</v>
      </c>
      <c r="G16">
        <v>2.4358172921472576E-3</v>
      </c>
    </row>
    <row r="17" spans="1:7" x14ac:dyDescent="0.3">
      <c r="A17">
        <v>44148</v>
      </c>
      <c r="B17">
        <v>3.9969999999999999</v>
      </c>
      <c r="C17">
        <v>2.94</v>
      </c>
      <c r="D17">
        <v>2.9609999999999999</v>
      </c>
      <c r="E17">
        <v>3.8620000000000001</v>
      </c>
      <c r="F17">
        <v>-0.30428909152313421</v>
      </c>
      <c r="G17">
        <v>-3.0446432430096371E-2</v>
      </c>
    </row>
    <row r="18" spans="1:7" x14ac:dyDescent="0.3">
      <c r="A18">
        <v>44149</v>
      </c>
      <c r="B18">
        <v>3.972</v>
      </c>
      <c r="C18">
        <v>3.5129999999999999</v>
      </c>
      <c r="D18">
        <v>3.8620000000000001</v>
      </c>
      <c r="E18">
        <v>3.8109999999999999</v>
      </c>
      <c r="F18">
        <v>1.3205592957017176E-2</v>
      </c>
      <c r="G18">
        <v>3.3216599911925715E-2</v>
      </c>
    </row>
    <row r="19" spans="1:7" x14ac:dyDescent="0.3">
      <c r="A19">
        <v>44150</v>
      </c>
      <c r="B19">
        <v>4.2480000000000002</v>
      </c>
      <c r="C19">
        <v>3.62</v>
      </c>
      <c r="D19">
        <v>3.8109999999999999</v>
      </c>
      <c r="E19">
        <v>3.85</v>
      </c>
      <c r="F19">
        <v>-1.0233534505379227E-2</v>
      </c>
      <c r="G19">
        <v>2.7156584170227482E-2</v>
      </c>
    </row>
    <row r="20" spans="1:7" x14ac:dyDescent="0.3">
      <c r="A20">
        <v>44151</v>
      </c>
      <c r="B20">
        <v>3.9390000000000001</v>
      </c>
      <c r="C20">
        <v>3.45</v>
      </c>
      <c r="D20">
        <v>3.85</v>
      </c>
      <c r="E20">
        <v>3.5680000000000001</v>
      </c>
      <c r="F20">
        <v>7.3246753246753227E-2</v>
      </c>
      <c r="G20">
        <v>-2.7870058638603368E-2</v>
      </c>
    </row>
    <row r="21" spans="1:7" x14ac:dyDescent="0.3">
      <c r="A21">
        <v>44152</v>
      </c>
      <c r="B21">
        <v>3.8639999999999999</v>
      </c>
      <c r="C21">
        <v>3.4820000000000002</v>
      </c>
      <c r="D21">
        <v>3.5680000000000001</v>
      </c>
      <c r="E21">
        <v>3.8180000000000001</v>
      </c>
      <c r="F21">
        <v>-7.0067264573991039E-2</v>
      </c>
      <c r="G21">
        <v>-4.7070562460684195E-2</v>
      </c>
    </row>
    <row r="22" spans="1:7" x14ac:dyDescent="0.3">
      <c r="A22">
        <v>44153</v>
      </c>
      <c r="B22">
        <v>3.851</v>
      </c>
      <c r="C22">
        <v>3.2789999999999999</v>
      </c>
      <c r="D22">
        <v>3.8180000000000001</v>
      </c>
      <c r="E22">
        <v>3.4630000000000001</v>
      </c>
      <c r="F22">
        <v>9.298061812467262E-2</v>
      </c>
      <c r="G22">
        <v>8.1829669988191522E-3</v>
      </c>
    </row>
    <row r="23" spans="1:7" x14ac:dyDescent="0.3">
      <c r="A23">
        <v>44154</v>
      </c>
      <c r="B23">
        <v>3.911</v>
      </c>
      <c r="C23">
        <v>3.2320000000000002</v>
      </c>
      <c r="D23">
        <v>3.4630000000000001</v>
      </c>
      <c r="E23">
        <v>3.75</v>
      </c>
      <c r="F23">
        <v>-8.2876118971989543E-2</v>
      </c>
      <c r="G23">
        <v>1.4495780766981325E-2</v>
      </c>
    </row>
    <row r="24" spans="1:7" x14ac:dyDescent="0.3">
      <c r="A24">
        <v>44155</v>
      </c>
      <c r="B24">
        <v>4.0890000000000004</v>
      </c>
      <c r="C24">
        <v>3.681</v>
      </c>
      <c r="D24">
        <v>3.75</v>
      </c>
      <c r="E24">
        <v>3.8610000000000002</v>
      </c>
      <c r="F24">
        <v>-2.9600000000000071E-2</v>
      </c>
      <c r="G24">
        <v>-8.1832054597092085E-2</v>
      </c>
    </row>
    <row r="25" spans="1:7" x14ac:dyDescent="0.3">
      <c r="A25">
        <v>44156</v>
      </c>
      <c r="B25">
        <v>3.9390000000000001</v>
      </c>
      <c r="C25">
        <v>3.5910000000000002</v>
      </c>
      <c r="D25">
        <v>3.8610000000000002</v>
      </c>
      <c r="E25">
        <v>3.8340000000000001</v>
      </c>
      <c r="F25">
        <v>6.9930069930069783E-3</v>
      </c>
      <c r="G25">
        <v>-8.195051231314765E-2</v>
      </c>
    </row>
    <row r="26" spans="1:7" x14ac:dyDescent="0.3">
      <c r="A26">
        <v>44157</v>
      </c>
      <c r="B26">
        <v>3.9510000000000001</v>
      </c>
      <c r="C26">
        <v>3.4420000000000002</v>
      </c>
      <c r="D26">
        <v>3.8340000000000001</v>
      </c>
      <c r="E26">
        <v>3.6920000000000002</v>
      </c>
      <c r="F26">
        <v>3.7037037037036979E-2</v>
      </c>
      <c r="G26">
        <v>-1.4033245210589129E-2</v>
      </c>
    </row>
    <row r="27" spans="1:7" x14ac:dyDescent="0.3">
      <c r="A27">
        <v>44158</v>
      </c>
      <c r="B27">
        <v>4.2290000000000001</v>
      </c>
      <c r="C27">
        <v>3.6339999999999999</v>
      </c>
      <c r="D27">
        <v>3.6920000000000002</v>
      </c>
      <c r="E27">
        <v>4.1870000000000003</v>
      </c>
      <c r="F27">
        <v>-0.13407367280606719</v>
      </c>
      <c r="G27">
        <v>-8.7712719415724782E-2</v>
      </c>
    </row>
    <row r="28" spans="1:7" x14ac:dyDescent="0.3">
      <c r="A28">
        <v>44159</v>
      </c>
      <c r="B28">
        <v>4.484</v>
      </c>
      <c r="C28">
        <v>3.94</v>
      </c>
      <c r="D28">
        <v>4.1870000000000003</v>
      </c>
      <c r="E28">
        <v>4.0650000000000004</v>
      </c>
      <c r="F28">
        <v>2.9137807499402868E-2</v>
      </c>
      <c r="G28">
        <v>6.8129955838654999E-3</v>
      </c>
    </row>
    <row r="29" spans="1:7" x14ac:dyDescent="0.3">
      <c r="A29">
        <v>44160</v>
      </c>
      <c r="B29">
        <v>4.2039999999999997</v>
      </c>
      <c r="C29">
        <v>3.528</v>
      </c>
      <c r="D29">
        <v>4.0650000000000004</v>
      </c>
      <c r="E29">
        <v>3.6779999999999999</v>
      </c>
      <c r="F29">
        <v>9.5202952029520449E-2</v>
      </c>
      <c r="G29">
        <v>5.8811861549142197E-2</v>
      </c>
    </row>
    <row r="30" spans="1:7" x14ac:dyDescent="0.3">
      <c r="A30">
        <v>44161</v>
      </c>
      <c r="B30">
        <v>3.7679999999999998</v>
      </c>
      <c r="C30">
        <v>3.101</v>
      </c>
      <c r="D30">
        <v>3.6779999999999999</v>
      </c>
      <c r="E30">
        <v>3.4369999999999998</v>
      </c>
      <c r="F30">
        <v>6.5524741707449707E-2</v>
      </c>
      <c r="G30">
        <v>8.6371619248331477E-2</v>
      </c>
    </row>
    <row r="31" spans="1:7" x14ac:dyDescent="0.3">
      <c r="A31">
        <v>44162</v>
      </c>
      <c r="B31">
        <v>3.5350000000000001</v>
      </c>
      <c r="C31">
        <v>3.1619999999999999</v>
      </c>
      <c r="D31">
        <v>3.4369999999999998</v>
      </c>
      <c r="E31">
        <v>3.3109999999999999</v>
      </c>
      <c r="F31">
        <v>3.6659877800407248E-2</v>
      </c>
      <c r="G31">
        <v>2.671946484179788E-3</v>
      </c>
    </row>
    <row r="32" spans="1:7" x14ac:dyDescent="0.3">
      <c r="A32">
        <v>44163</v>
      </c>
      <c r="B32">
        <v>3.532</v>
      </c>
      <c r="C32">
        <v>3.2589999999999999</v>
      </c>
      <c r="D32">
        <v>3.3109999999999999</v>
      </c>
      <c r="E32">
        <v>3.4340000000000002</v>
      </c>
      <c r="F32">
        <v>-3.7148897614013965E-2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52DDA-E6D1-4557-AE2E-AE5D08929900}">
  <sheetPr codeName="Sheet10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12931.79</v>
      </c>
      <c r="C2">
        <v>10532.91</v>
      </c>
      <c r="D2">
        <v>12565.87</v>
      </c>
      <c r="E2">
        <v>10810.27</v>
      </c>
      <c r="F2"/>
      <c r="G2"/>
    </row>
    <row r="3" spans="1:7" x14ac:dyDescent="0.3">
      <c r="A3">
        <v>44134</v>
      </c>
      <c r="B3">
        <v>11968.8</v>
      </c>
      <c r="C3">
        <v>9644.83</v>
      </c>
      <c r="D3">
        <v>10810.27</v>
      </c>
      <c r="E3">
        <v>11019.63</v>
      </c>
      <c r="F3">
        <v>-1.9366768822610236E-2</v>
      </c>
      <c r="G3">
        <v>1.2334210662125256E-2</v>
      </c>
    </row>
    <row r="4" spans="1:7" x14ac:dyDescent="0.3">
      <c r="A4">
        <v>44135</v>
      </c>
      <c r="B4">
        <v>11432.03</v>
      </c>
      <c r="C4">
        <v>10280.379999999999</v>
      </c>
      <c r="D4">
        <v>11019.63</v>
      </c>
      <c r="E4">
        <v>10495.4</v>
      </c>
      <c r="F4">
        <v>4.7572377656962983E-2</v>
      </c>
      <c r="G4">
        <v>-1.0476538823283477E-2</v>
      </c>
    </row>
    <row r="5" spans="1:7" x14ac:dyDescent="0.3">
      <c r="A5">
        <v>44136</v>
      </c>
      <c r="B5">
        <v>11046.28</v>
      </c>
      <c r="C5">
        <v>9977.3700000000008</v>
      </c>
      <c r="D5">
        <v>10495.4</v>
      </c>
      <c r="E5">
        <v>10700.08</v>
      </c>
      <c r="F5">
        <v>-1.9501877012786606E-2</v>
      </c>
      <c r="G5">
        <v>-2.5803449078263707E-2</v>
      </c>
    </row>
    <row r="6" spans="1:7" x14ac:dyDescent="0.3">
      <c r="A6">
        <v>44137</v>
      </c>
      <c r="B6">
        <v>11239.16</v>
      </c>
      <c r="C6">
        <v>10034.799999999999</v>
      </c>
      <c r="D6">
        <v>10700.08</v>
      </c>
      <c r="E6">
        <v>10111.709999999999</v>
      </c>
      <c r="F6">
        <v>5.4987439346247946E-2</v>
      </c>
      <c r="G6">
        <v>3.3119092627599156E-2</v>
      </c>
    </row>
    <row r="7" spans="1:7" x14ac:dyDescent="0.3">
      <c r="A7">
        <v>44138</v>
      </c>
      <c r="B7">
        <v>10243.4</v>
      </c>
      <c r="C7">
        <v>9310.81</v>
      </c>
      <c r="D7">
        <v>10111.709999999999</v>
      </c>
      <c r="E7">
        <v>9375.14</v>
      </c>
      <c r="F7">
        <v>7.2843267854794114E-2</v>
      </c>
      <c r="G7">
        <v>-1.191314095044449E-2</v>
      </c>
    </row>
    <row r="8" spans="1:7" x14ac:dyDescent="0.3">
      <c r="A8">
        <v>44139</v>
      </c>
      <c r="B8">
        <v>9684.49</v>
      </c>
      <c r="C8">
        <v>8241.6</v>
      </c>
      <c r="D8">
        <v>9375.14</v>
      </c>
      <c r="E8">
        <v>8488</v>
      </c>
      <c r="F8">
        <v>9.4626853572319924E-2</v>
      </c>
      <c r="G8">
        <v>-3.730228244628786E-2</v>
      </c>
    </row>
    <row r="9" spans="1:7" x14ac:dyDescent="0.3">
      <c r="A9">
        <v>44140</v>
      </c>
      <c r="B9">
        <v>9920.26</v>
      </c>
      <c r="C9">
        <v>7465.52</v>
      </c>
      <c r="D9">
        <v>8488</v>
      </c>
      <c r="E9">
        <v>8501.69</v>
      </c>
      <c r="F9">
        <v>-1.6128652214892902E-3</v>
      </c>
      <c r="G9">
        <v>-3.5339989072666667E-2</v>
      </c>
    </row>
    <row r="10" spans="1:7" x14ac:dyDescent="0.3">
      <c r="A10">
        <v>44141</v>
      </c>
      <c r="B10">
        <v>11959.29</v>
      </c>
      <c r="C10">
        <v>8414.81</v>
      </c>
      <c r="D10">
        <v>8501.69</v>
      </c>
      <c r="E10">
        <v>11834.76</v>
      </c>
      <c r="F10">
        <v>-0.39204793399900484</v>
      </c>
      <c r="G10">
        <v>-9.4581304420830348E-2</v>
      </c>
    </row>
    <row r="11" spans="1:7" x14ac:dyDescent="0.3">
      <c r="A11">
        <v>44142</v>
      </c>
      <c r="B11">
        <v>17544.75</v>
      </c>
      <c r="C11">
        <v>11828.1</v>
      </c>
      <c r="D11">
        <v>11834.76</v>
      </c>
      <c r="E11">
        <v>14299.07</v>
      </c>
      <c r="F11">
        <v>-0.20822644481172414</v>
      </c>
      <c r="G11">
        <v>4.4924614305750343E-2</v>
      </c>
    </row>
    <row r="12" spans="1:7" x14ac:dyDescent="0.3">
      <c r="A12">
        <v>44143</v>
      </c>
      <c r="B12">
        <v>15984.84</v>
      </c>
      <c r="C12">
        <v>13402.78</v>
      </c>
      <c r="D12">
        <v>14299.07</v>
      </c>
      <c r="E12">
        <v>15136.24</v>
      </c>
      <c r="F12">
        <v>-5.8547164256137041E-2</v>
      </c>
      <c r="G12">
        <v>-4.3412417970721817E-2</v>
      </c>
    </row>
    <row r="13" spans="1:7" x14ac:dyDescent="0.3">
      <c r="A13">
        <v>44144</v>
      </c>
      <c r="B13">
        <v>15597.56</v>
      </c>
      <c r="C13">
        <v>13954.75</v>
      </c>
      <c r="D13">
        <v>15136.24</v>
      </c>
      <c r="E13">
        <v>14978.46</v>
      </c>
      <c r="F13">
        <v>1.0423989048799487E-2</v>
      </c>
      <c r="G13">
        <v>2.2628315081145267E-2</v>
      </c>
    </row>
    <row r="14" spans="1:7" x14ac:dyDescent="0.3">
      <c r="A14">
        <v>44145</v>
      </c>
      <c r="B14">
        <v>18900.37</v>
      </c>
      <c r="C14">
        <v>14686.94</v>
      </c>
      <c r="D14">
        <v>14978.46</v>
      </c>
      <c r="E14">
        <v>18278.8</v>
      </c>
      <c r="F14">
        <v>-0.22033907357632221</v>
      </c>
      <c r="G14">
        <v>-1.4422319721003607E-2</v>
      </c>
    </row>
    <row r="15" spans="1:7" x14ac:dyDescent="0.3">
      <c r="A15">
        <v>44146</v>
      </c>
      <c r="B15">
        <v>19294.849999999999</v>
      </c>
      <c r="C15">
        <v>15747.43</v>
      </c>
      <c r="D15">
        <v>18278.8</v>
      </c>
      <c r="E15">
        <v>16678.14</v>
      </c>
      <c r="F15">
        <v>8.7569205855964283E-2</v>
      </c>
      <c r="G15">
        <v>-2.8944683493767442E-2</v>
      </c>
    </row>
    <row r="16" spans="1:7" x14ac:dyDescent="0.3">
      <c r="A16">
        <v>44147</v>
      </c>
      <c r="B16">
        <v>17287.43</v>
      </c>
      <c r="C16">
        <v>14946.62</v>
      </c>
      <c r="D16">
        <v>16678.14</v>
      </c>
      <c r="E16">
        <v>15463.89</v>
      </c>
      <c r="F16">
        <v>7.2804881119837073E-2</v>
      </c>
      <c r="G16">
        <v>2.4358172921472576E-3</v>
      </c>
    </row>
    <row r="17" spans="1:7" x14ac:dyDescent="0.3">
      <c r="A17">
        <v>44148</v>
      </c>
      <c r="B17">
        <v>18469.759999999998</v>
      </c>
      <c r="C17">
        <v>15172.03</v>
      </c>
      <c r="D17">
        <v>15463.89</v>
      </c>
      <c r="E17">
        <v>17915.18</v>
      </c>
      <c r="F17">
        <v>-0.15851703549365648</v>
      </c>
      <c r="G17">
        <v>-3.0446432430096371E-2</v>
      </c>
    </row>
    <row r="18" spans="1:7" x14ac:dyDescent="0.3">
      <c r="A18">
        <v>44149</v>
      </c>
      <c r="B18">
        <v>17922.740000000002</v>
      </c>
      <c r="C18">
        <v>16131.06</v>
      </c>
      <c r="D18">
        <v>17915.18</v>
      </c>
      <c r="E18">
        <v>17193.939999999999</v>
      </c>
      <c r="F18">
        <v>4.0258596341203434E-2</v>
      </c>
      <c r="G18">
        <v>3.3216599911925715E-2</v>
      </c>
    </row>
    <row r="19" spans="1:7" x14ac:dyDescent="0.3">
      <c r="A19">
        <v>44150</v>
      </c>
      <c r="B19">
        <v>18431.86</v>
      </c>
      <c r="C19">
        <v>16567.52</v>
      </c>
      <c r="D19">
        <v>17193.939999999999</v>
      </c>
      <c r="E19">
        <v>17619.22</v>
      </c>
      <c r="F19">
        <v>-2.4734295920539662E-2</v>
      </c>
      <c r="G19">
        <v>2.7156584170227482E-2</v>
      </c>
    </row>
    <row r="20" spans="1:7" x14ac:dyDescent="0.3">
      <c r="A20">
        <v>44151</v>
      </c>
      <c r="B20">
        <v>19145.63</v>
      </c>
      <c r="C20">
        <v>17026.14</v>
      </c>
      <c r="D20">
        <v>17619.22</v>
      </c>
      <c r="E20">
        <v>18588.41</v>
      </c>
      <c r="F20">
        <v>-5.5007542899174755E-2</v>
      </c>
      <c r="G20">
        <v>-2.7870058638603368E-2</v>
      </c>
    </row>
    <row r="21" spans="1:7" x14ac:dyDescent="0.3">
      <c r="A21">
        <v>44152</v>
      </c>
      <c r="B21">
        <v>24914.12</v>
      </c>
      <c r="C21">
        <v>18470.849999999999</v>
      </c>
      <c r="D21">
        <v>18588.41</v>
      </c>
      <c r="E21">
        <v>23956.19</v>
      </c>
      <c r="F21">
        <v>-0.28877026060862643</v>
      </c>
      <c r="G21">
        <v>-4.7070562460684195E-2</v>
      </c>
    </row>
    <row r="22" spans="1:7" x14ac:dyDescent="0.3">
      <c r="A22">
        <v>44153</v>
      </c>
      <c r="B22">
        <v>26193.66</v>
      </c>
      <c r="C22">
        <v>20666.560000000001</v>
      </c>
      <c r="D22">
        <v>23956.19</v>
      </c>
      <c r="E22">
        <v>25454.94</v>
      </c>
      <c r="F22">
        <v>-6.2562118600662187E-2</v>
      </c>
      <c r="G22">
        <v>8.1829669988191522E-3</v>
      </c>
    </row>
    <row r="23" spans="1:7" x14ac:dyDescent="0.3">
      <c r="A23">
        <v>44154</v>
      </c>
      <c r="B23">
        <v>29696.240000000002</v>
      </c>
      <c r="C23">
        <v>24267.52</v>
      </c>
      <c r="D23">
        <v>25454.94</v>
      </c>
      <c r="E23">
        <v>27810.11</v>
      </c>
      <c r="F23">
        <v>-9.2523101606210911E-2</v>
      </c>
      <c r="G23">
        <v>1.4495780766981325E-2</v>
      </c>
    </row>
    <row r="24" spans="1:7" x14ac:dyDescent="0.3">
      <c r="A24">
        <v>44155</v>
      </c>
      <c r="B24">
        <v>29890.51</v>
      </c>
      <c r="C24">
        <v>25697.87</v>
      </c>
      <c r="D24">
        <v>27810.11</v>
      </c>
      <c r="E24">
        <v>26509.55</v>
      </c>
      <c r="F24">
        <v>4.6765726564907517E-2</v>
      </c>
      <c r="G24">
        <v>-8.1832054597092085E-2</v>
      </c>
    </row>
    <row r="25" spans="1:7" x14ac:dyDescent="0.3">
      <c r="A25">
        <v>44156</v>
      </c>
      <c r="B25">
        <v>27821.439999999999</v>
      </c>
      <c r="C25">
        <v>23420.799999999999</v>
      </c>
      <c r="D25">
        <v>26509.55</v>
      </c>
      <c r="E25">
        <v>24480.9</v>
      </c>
      <c r="F25">
        <v>7.6525252220426165E-2</v>
      </c>
      <c r="G25">
        <v>-8.195051231314765E-2</v>
      </c>
    </row>
    <row r="26" spans="1:7" x14ac:dyDescent="0.3">
      <c r="A26">
        <v>44157</v>
      </c>
      <c r="B26">
        <v>27222.93</v>
      </c>
      <c r="C26">
        <v>21474.26</v>
      </c>
      <c r="D26">
        <v>24480.9</v>
      </c>
      <c r="E26">
        <v>24432.51</v>
      </c>
      <c r="F26">
        <v>1.976643015575541E-3</v>
      </c>
      <c r="G26">
        <v>-1.4033245210589129E-2</v>
      </c>
    </row>
    <row r="27" spans="1:7" x14ac:dyDescent="0.3">
      <c r="A27">
        <v>44158</v>
      </c>
      <c r="B27">
        <v>26354.61</v>
      </c>
      <c r="C27">
        <v>23278.78</v>
      </c>
      <c r="D27">
        <v>24432.51</v>
      </c>
      <c r="E27">
        <v>25239.49</v>
      </c>
      <c r="F27">
        <v>-3.3028943812977163E-2</v>
      </c>
      <c r="G27">
        <v>-8.7712719415724782E-2</v>
      </c>
    </row>
    <row r="28" spans="1:7" x14ac:dyDescent="0.3">
      <c r="A28">
        <v>44159</v>
      </c>
      <c r="B28">
        <v>26392.39</v>
      </c>
      <c r="C28">
        <v>23360.54</v>
      </c>
      <c r="D28">
        <v>25239.49</v>
      </c>
      <c r="E28">
        <v>24710.86</v>
      </c>
      <c r="F28">
        <v>2.0944559497834581E-2</v>
      </c>
      <c r="G28">
        <v>6.8129955838654999E-3</v>
      </c>
    </row>
    <row r="29" spans="1:7" x14ac:dyDescent="0.3">
      <c r="A29">
        <v>44160</v>
      </c>
      <c r="B29">
        <v>24827.52</v>
      </c>
      <c r="C29">
        <v>21522.99</v>
      </c>
      <c r="D29">
        <v>24710.86</v>
      </c>
      <c r="E29">
        <v>22342.01</v>
      </c>
      <c r="F29">
        <v>9.5862709755953568E-2</v>
      </c>
      <c r="G29">
        <v>5.8811861549142197E-2</v>
      </c>
    </row>
    <row r="30" spans="1:7" x14ac:dyDescent="0.3">
      <c r="A30">
        <v>44161</v>
      </c>
      <c r="B30">
        <v>23366.25</v>
      </c>
      <c r="C30">
        <v>18221.03</v>
      </c>
      <c r="D30">
        <v>22342.01</v>
      </c>
      <c r="E30">
        <v>23359.35</v>
      </c>
      <c r="F30">
        <v>-4.5534846685683084E-2</v>
      </c>
      <c r="G30">
        <v>8.6371619248331477E-2</v>
      </c>
    </row>
    <row r="31" spans="1:7" x14ac:dyDescent="0.3">
      <c r="A31">
        <v>44162</v>
      </c>
      <c r="B31">
        <v>25580.74</v>
      </c>
      <c r="C31">
        <v>22255.17</v>
      </c>
      <c r="D31">
        <v>23359.35</v>
      </c>
      <c r="E31">
        <v>23479.37</v>
      </c>
      <c r="F31">
        <v>-5.1379854319577589E-3</v>
      </c>
      <c r="G31">
        <v>2.671946484179788E-3</v>
      </c>
    </row>
    <row r="32" spans="1:7" x14ac:dyDescent="0.3">
      <c r="A32">
        <v>44163</v>
      </c>
      <c r="B32">
        <v>24457.07</v>
      </c>
      <c r="C32">
        <v>22564.59</v>
      </c>
      <c r="D32">
        <v>23479.37</v>
      </c>
      <c r="E32">
        <v>23878.48</v>
      </c>
      <c r="F32">
        <v>-1.699832661608891E-2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17C27-E37A-4727-B106-04FB5E97E7A9}">
  <sheetPr codeName="Sheet11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111.79</v>
      </c>
      <c r="C2">
        <v>94.21</v>
      </c>
      <c r="D2">
        <v>107.96</v>
      </c>
      <c r="E2">
        <v>97.05</v>
      </c>
      <c r="F2"/>
      <c r="G2"/>
    </row>
    <row r="3" spans="1:7" x14ac:dyDescent="0.3">
      <c r="A3">
        <v>44134</v>
      </c>
      <c r="B3">
        <v>98.94</v>
      </c>
      <c r="C3">
        <v>88.49</v>
      </c>
      <c r="D3">
        <v>97.05</v>
      </c>
      <c r="E3">
        <v>92.22</v>
      </c>
      <c r="F3">
        <v>4.9768160741885614E-2</v>
      </c>
      <c r="G3">
        <v>1.2334210662125256E-2</v>
      </c>
    </row>
    <row r="4" spans="1:7" x14ac:dyDescent="0.3">
      <c r="A4">
        <v>44135</v>
      </c>
      <c r="B4">
        <v>95.14</v>
      </c>
      <c r="C4">
        <v>89.06</v>
      </c>
      <c r="D4">
        <v>92.22</v>
      </c>
      <c r="E4">
        <v>90.88</v>
      </c>
      <c r="F4">
        <v>1.4530470613749791E-2</v>
      </c>
      <c r="G4">
        <v>-1.0476538823283477E-2</v>
      </c>
    </row>
    <row r="5" spans="1:7" x14ac:dyDescent="0.3">
      <c r="A5">
        <v>44136</v>
      </c>
      <c r="B5">
        <v>96.16</v>
      </c>
      <c r="C5">
        <v>89.52</v>
      </c>
      <c r="D5">
        <v>90.88</v>
      </c>
      <c r="E5">
        <v>94.03</v>
      </c>
      <c r="F5">
        <v>-3.4661091549295753E-2</v>
      </c>
      <c r="G5">
        <v>-2.5803449078263707E-2</v>
      </c>
    </row>
    <row r="6" spans="1:7" x14ac:dyDescent="0.3">
      <c r="A6">
        <v>44137</v>
      </c>
      <c r="B6">
        <v>98.98</v>
      </c>
      <c r="C6">
        <v>90.38</v>
      </c>
      <c r="D6">
        <v>94.03</v>
      </c>
      <c r="E6">
        <v>91.17</v>
      </c>
      <c r="F6">
        <v>3.0415824736786168E-2</v>
      </c>
      <c r="G6">
        <v>3.3119092627599156E-2</v>
      </c>
    </row>
    <row r="7" spans="1:7" x14ac:dyDescent="0.3">
      <c r="A7">
        <v>44138</v>
      </c>
      <c r="B7">
        <v>91.17</v>
      </c>
      <c r="C7">
        <v>80.84</v>
      </c>
      <c r="D7">
        <v>91.17</v>
      </c>
      <c r="E7">
        <v>87.57</v>
      </c>
      <c r="F7">
        <v>3.9486673247778992E-2</v>
      </c>
      <c r="G7">
        <v>-1.191314095044449E-2</v>
      </c>
    </row>
    <row r="8" spans="1:7" x14ac:dyDescent="0.3">
      <c r="A8">
        <v>44139</v>
      </c>
      <c r="B8">
        <v>88.99</v>
      </c>
      <c r="C8">
        <v>81.72</v>
      </c>
      <c r="D8">
        <v>87.57</v>
      </c>
      <c r="E8">
        <v>88.66</v>
      </c>
      <c r="F8">
        <v>-1.2447185109055736E-2</v>
      </c>
      <c r="G8">
        <v>-3.730228244628786E-2</v>
      </c>
    </row>
    <row r="9" spans="1:7" x14ac:dyDescent="0.3">
      <c r="A9">
        <v>44140</v>
      </c>
      <c r="B9">
        <v>93.65</v>
      </c>
      <c r="C9">
        <v>83.32</v>
      </c>
      <c r="D9">
        <v>88.66</v>
      </c>
      <c r="E9">
        <v>90.95</v>
      </c>
      <c r="F9">
        <v>-2.582900969997759E-2</v>
      </c>
      <c r="G9">
        <v>-3.5339989072666667E-2</v>
      </c>
    </row>
    <row r="10" spans="1:7" x14ac:dyDescent="0.3">
      <c r="A10">
        <v>44141</v>
      </c>
      <c r="B10">
        <v>100.01</v>
      </c>
      <c r="C10">
        <v>88.82</v>
      </c>
      <c r="D10">
        <v>90.95</v>
      </c>
      <c r="E10">
        <v>95.81</v>
      </c>
      <c r="F10">
        <v>-5.3435953820780702E-2</v>
      </c>
      <c r="G10">
        <v>-9.4581304420830348E-2</v>
      </c>
    </row>
    <row r="11" spans="1:7" x14ac:dyDescent="0.3">
      <c r="A11">
        <v>44142</v>
      </c>
      <c r="B11">
        <v>111.81</v>
      </c>
      <c r="C11">
        <v>90</v>
      </c>
      <c r="D11">
        <v>95.81</v>
      </c>
      <c r="E11">
        <v>92.54</v>
      </c>
      <c r="F11">
        <v>3.4130049055422162E-2</v>
      </c>
      <c r="G11">
        <v>4.4924614305750343E-2</v>
      </c>
    </row>
    <row r="12" spans="1:7" x14ac:dyDescent="0.3">
      <c r="A12">
        <v>44143</v>
      </c>
      <c r="B12">
        <v>100.92</v>
      </c>
      <c r="C12">
        <v>91.45</v>
      </c>
      <c r="D12">
        <v>92.54</v>
      </c>
      <c r="E12">
        <v>97.26</v>
      </c>
      <c r="F12">
        <v>-5.1004970823427698E-2</v>
      </c>
      <c r="G12">
        <v>-4.3412417970721817E-2</v>
      </c>
    </row>
    <row r="13" spans="1:7" x14ac:dyDescent="0.3">
      <c r="A13">
        <v>44144</v>
      </c>
      <c r="B13">
        <v>100.36</v>
      </c>
      <c r="C13">
        <v>93.37</v>
      </c>
      <c r="D13">
        <v>97.26</v>
      </c>
      <c r="E13">
        <v>94.63</v>
      </c>
      <c r="F13">
        <v>2.7040921242031724E-2</v>
      </c>
      <c r="G13">
        <v>2.2628315081145267E-2</v>
      </c>
    </row>
    <row r="14" spans="1:7" x14ac:dyDescent="0.3">
      <c r="A14">
        <v>44145</v>
      </c>
      <c r="B14">
        <v>105.45</v>
      </c>
      <c r="C14">
        <v>94.07</v>
      </c>
      <c r="D14">
        <v>94.63</v>
      </c>
      <c r="E14">
        <v>102.46</v>
      </c>
      <c r="F14">
        <v>-8.2743316073126794E-2</v>
      </c>
      <c r="G14">
        <v>-1.4422319721003607E-2</v>
      </c>
    </row>
    <row r="15" spans="1:7" x14ac:dyDescent="0.3">
      <c r="A15">
        <v>44146</v>
      </c>
      <c r="B15">
        <v>114.85</v>
      </c>
      <c r="C15">
        <v>101.9</v>
      </c>
      <c r="D15">
        <v>102.46</v>
      </c>
      <c r="E15">
        <v>103.1</v>
      </c>
      <c r="F15">
        <v>-6.246340035135578E-3</v>
      </c>
      <c r="G15">
        <v>-2.8944683493767442E-2</v>
      </c>
    </row>
    <row r="16" spans="1:7" x14ac:dyDescent="0.3">
      <c r="A16">
        <v>44147</v>
      </c>
      <c r="B16">
        <v>108.44</v>
      </c>
      <c r="C16">
        <v>99.5</v>
      </c>
      <c r="D16">
        <v>103.1</v>
      </c>
      <c r="E16">
        <v>104.39</v>
      </c>
      <c r="F16">
        <v>-1.2512124151309534E-2</v>
      </c>
      <c r="G16">
        <v>2.4358172921472576E-3</v>
      </c>
    </row>
    <row r="17" spans="1:7" x14ac:dyDescent="0.3">
      <c r="A17">
        <v>44148</v>
      </c>
      <c r="B17">
        <v>117.86</v>
      </c>
      <c r="C17">
        <v>103.42</v>
      </c>
      <c r="D17">
        <v>104.39</v>
      </c>
      <c r="E17">
        <v>116.71</v>
      </c>
      <c r="F17">
        <v>-0.11801896733403572</v>
      </c>
      <c r="G17">
        <v>-3.0446432430096371E-2</v>
      </c>
    </row>
    <row r="18" spans="1:7" x14ac:dyDescent="0.3">
      <c r="A18">
        <v>44149</v>
      </c>
      <c r="B18">
        <v>124.53</v>
      </c>
      <c r="C18">
        <v>107.61</v>
      </c>
      <c r="D18">
        <v>116.71</v>
      </c>
      <c r="E18">
        <v>121.57</v>
      </c>
      <c r="F18">
        <v>-4.164167594893331E-2</v>
      </c>
      <c r="G18">
        <v>3.3216599911925715E-2</v>
      </c>
    </row>
    <row r="19" spans="1:7" x14ac:dyDescent="0.3">
      <c r="A19">
        <v>44150</v>
      </c>
      <c r="B19">
        <v>130.53</v>
      </c>
      <c r="C19">
        <v>113.25</v>
      </c>
      <c r="D19">
        <v>121.57</v>
      </c>
      <c r="E19">
        <v>120.11</v>
      </c>
      <c r="F19">
        <v>1.2009541827753489E-2</v>
      </c>
      <c r="G19">
        <v>2.7156584170227482E-2</v>
      </c>
    </row>
    <row r="20" spans="1:7" x14ac:dyDescent="0.3">
      <c r="A20">
        <v>44151</v>
      </c>
      <c r="B20">
        <v>124.87</v>
      </c>
      <c r="C20">
        <v>114.59</v>
      </c>
      <c r="D20">
        <v>120.11</v>
      </c>
      <c r="E20">
        <v>120.13</v>
      </c>
      <c r="F20">
        <v>-1.6651402880696331E-4</v>
      </c>
      <c r="G20">
        <v>-2.7870058638603368E-2</v>
      </c>
    </row>
    <row r="21" spans="1:7" x14ac:dyDescent="0.3">
      <c r="A21">
        <v>44152</v>
      </c>
      <c r="B21">
        <v>127.69</v>
      </c>
      <c r="C21">
        <v>118.33</v>
      </c>
      <c r="D21">
        <v>120.13</v>
      </c>
      <c r="E21">
        <v>122.73</v>
      </c>
      <c r="F21">
        <v>-2.1643219845167705E-2</v>
      </c>
      <c r="G21">
        <v>-4.7070562460684195E-2</v>
      </c>
    </row>
    <row r="22" spans="1:7" x14ac:dyDescent="0.3">
      <c r="A22">
        <v>44153</v>
      </c>
      <c r="B22">
        <v>126.15</v>
      </c>
      <c r="C22">
        <v>107.24</v>
      </c>
      <c r="D22">
        <v>122.73</v>
      </c>
      <c r="E22">
        <v>114.22</v>
      </c>
      <c r="F22">
        <v>6.9339199869632551E-2</v>
      </c>
      <c r="G22">
        <v>8.1829669988191522E-3</v>
      </c>
    </row>
    <row r="23" spans="1:7" x14ac:dyDescent="0.3">
      <c r="A23">
        <v>44154</v>
      </c>
      <c r="B23">
        <v>118.6</v>
      </c>
      <c r="C23">
        <v>108.76</v>
      </c>
      <c r="D23">
        <v>114.22</v>
      </c>
      <c r="E23">
        <v>113.46</v>
      </c>
      <c r="F23">
        <v>6.6538259499212549E-3</v>
      </c>
      <c r="G23">
        <v>1.4495780766981325E-2</v>
      </c>
    </row>
    <row r="24" spans="1:7" x14ac:dyDescent="0.3">
      <c r="A24">
        <v>44155</v>
      </c>
      <c r="B24">
        <v>124.41</v>
      </c>
      <c r="C24">
        <v>113.28</v>
      </c>
      <c r="D24">
        <v>113.46</v>
      </c>
      <c r="E24">
        <v>116.23</v>
      </c>
      <c r="F24">
        <v>-2.4413890357835477E-2</v>
      </c>
      <c r="G24">
        <v>-8.1832054597092085E-2</v>
      </c>
    </row>
    <row r="25" spans="1:7" x14ac:dyDescent="0.3">
      <c r="A25">
        <v>44156</v>
      </c>
      <c r="B25">
        <v>128.31</v>
      </c>
      <c r="C25">
        <v>113.01</v>
      </c>
      <c r="D25">
        <v>116.23</v>
      </c>
      <c r="E25">
        <v>127.5</v>
      </c>
      <c r="F25">
        <v>-9.6962918351544358E-2</v>
      </c>
      <c r="G25">
        <v>-8.195051231314765E-2</v>
      </c>
    </row>
    <row r="26" spans="1:7" x14ac:dyDescent="0.3">
      <c r="A26">
        <v>44157</v>
      </c>
      <c r="B26">
        <v>129.07</v>
      </c>
      <c r="C26">
        <v>112.84</v>
      </c>
      <c r="D26">
        <v>127.5</v>
      </c>
      <c r="E26">
        <v>116.96</v>
      </c>
      <c r="F26">
        <v>8.2666666666666666E-2</v>
      </c>
      <c r="G26">
        <v>-1.4033245210589129E-2</v>
      </c>
    </row>
    <row r="27" spans="1:7" x14ac:dyDescent="0.3">
      <c r="A27">
        <v>44158</v>
      </c>
      <c r="B27">
        <v>129.47999999999999</v>
      </c>
      <c r="C27">
        <v>115.63</v>
      </c>
      <c r="D27">
        <v>116.96</v>
      </c>
      <c r="E27">
        <v>125.66</v>
      </c>
      <c r="F27">
        <v>-7.4384404924760616E-2</v>
      </c>
      <c r="G27">
        <v>-8.7712719415724782E-2</v>
      </c>
    </row>
    <row r="28" spans="1:7" x14ac:dyDescent="0.3">
      <c r="A28">
        <v>44159</v>
      </c>
      <c r="B28">
        <v>133.47</v>
      </c>
      <c r="C28">
        <v>122.02</v>
      </c>
      <c r="D28">
        <v>125.66</v>
      </c>
      <c r="E28">
        <v>127.73</v>
      </c>
      <c r="F28">
        <v>-1.6473022441508833E-2</v>
      </c>
      <c r="G28">
        <v>6.8129955838654999E-3</v>
      </c>
    </row>
    <row r="29" spans="1:7" x14ac:dyDescent="0.3">
      <c r="A29">
        <v>44160</v>
      </c>
      <c r="B29">
        <v>139.74</v>
      </c>
      <c r="C29">
        <v>119.08</v>
      </c>
      <c r="D29">
        <v>127.73</v>
      </c>
      <c r="E29">
        <v>122.72</v>
      </c>
      <c r="F29">
        <v>3.9223361778752075E-2</v>
      </c>
      <c r="G29">
        <v>5.8811861549142197E-2</v>
      </c>
    </row>
    <row r="30" spans="1:7" x14ac:dyDescent="0.3">
      <c r="A30">
        <v>44161</v>
      </c>
      <c r="B30">
        <v>125.69</v>
      </c>
      <c r="C30">
        <v>97.17</v>
      </c>
      <c r="D30">
        <v>122.72</v>
      </c>
      <c r="E30">
        <v>106.91</v>
      </c>
      <c r="F30">
        <v>0.12882985658409385</v>
      </c>
      <c r="G30">
        <v>8.6371619248331477E-2</v>
      </c>
    </row>
    <row r="31" spans="1:7" x14ac:dyDescent="0.3">
      <c r="A31">
        <v>44162</v>
      </c>
      <c r="B31">
        <v>110.08</v>
      </c>
      <c r="C31">
        <v>99.95</v>
      </c>
      <c r="D31">
        <v>106.91</v>
      </c>
      <c r="E31">
        <v>104.52</v>
      </c>
      <c r="F31">
        <v>2.2355252081189825E-2</v>
      </c>
      <c r="G31">
        <v>2.671946484179788E-3</v>
      </c>
    </row>
    <row r="32" spans="1:7" x14ac:dyDescent="0.3">
      <c r="A32">
        <v>44163</v>
      </c>
      <c r="B32">
        <v>109.86</v>
      </c>
      <c r="C32">
        <v>102.13</v>
      </c>
      <c r="D32">
        <v>104.52</v>
      </c>
      <c r="E32">
        <v>108.51</v>
      </c>
      <c r="F32">
        <v>-3.8174512055109133E-2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72BB-9B99-4B09-8BEB-3D8320818DCC}">
  <sheetPr codeName="Sheet12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0.28470000000000001</v>
      </c>
      <c r="C2">
        <v>0.25209999999999999</v>
      </c>
      <c r="D2">
        <v>0.27929999999999999</v>
      </c>
      <c r="E2">
        <v>0.25659999999999999</v>
      </c>
      <c r="F2"/>
      <c r="G2"/>
    </row>
    <row r="3" spans="1:7" x14ac:dyDescent="0.3">
      <c r="A3">
        <v>44134</v>
      </c>
      <c r="B3">
        <v>0.27029999999999998</v>
      </c>
      <c r="C3">
        <v>0.2306</v>
      </c>
      <c r="D3">
        <v>0.25659999999999999</v>
      </c>
      <c r="E3">
        <v>0.2671</v>
      </c>
      <c r="F3">
        <v>-4.0919719407638278E-2</v>
      </c>
      <c r="G3">
        <v>1.2334210662125256E-2</v>
      </c>
    </row>
    <row r="4" spans="1:7" x14ac:dyDescent="0.3">
      <c r="A4">
        <v>44135</v>
      </c>
      <c r="B4">
        <v>0.29070000000000001</v>
      </c>
      <c r="C4">
        <v>0.26129999999999998</v>
      </c>
      <c r="D4">
        <v>0.2671</v>
      </c>
      <c r="E4">
        <v>0.28810000000000002</v>
      </c>
      <c r="F4">
        <v>-7.8622238861849603E-2</v>
      </c>
      <c r="G4">
        <v>-1.0476538823283477E-2</v>
      </c>
    </row>
    <row r="5" spans="1:7" x14ac:dyDescent="0.3">
      <c r="A5">
        <v>44136</v>
      </c>
      <c r="B5">
        <v>0.29239999999999999</v>
      </c>
      <c r="C5">
        <v>0.26240000000000002</v>
      </c>
      <c r="D5">
        <v>0.28810000000000002</v>
      </c>
      <c r="E5">
        <v>0.26719999999999999</v>
      </c>
      <c r="F5">
        <v>7.2544255466851837E-2</v>
      </c>
      <c r="G5">
        <v>-2.5803449078263707E-2</v>
      </c>
    </row>
    <row r="6" spans="1:7" x14ac:dyDescent="0.3">
      <c r="A6">
        <v>44137</v>
      </c>
      <c r="B6">
        <v>0.2772</v>
      </c>
      <c r="C6">
        <v>0.2472</v>
      </c>
      <c r="D6">
        <v>0.26719999999999999</v>
      </c>
      <c r="E6">
        <v>0.253</v>
      </c>
      <c r="F6">
        <v>5.3143712574850288E-2</v>
      </c>
      <c r="G6">
        <v>3.3119092627599156E-2</v>
      </c>
    </row>
    <row r="7" spans="1:7" x14ac:dyDescent="0.3">
      <c r="A7">
        <v>44138</v>
      </c>
      <c r="B7">
        <v>0.26500000000000001</v>
      </c>
      <c r="C7">
        <v>0.23649999999999999</v>
      </c>
      <c r="D7">
        <v>0.253</v>
      </c>
      <c r="E7">
        <v>0.25650000000000001</v>
      </c>
      <c r="F7">
        <v>-1.383399209486158E-2</v>
      </c>
      <c r="G7">
        <v>-1.191314095044449E-2</v>
      </c>
    </row>
    <row r="8" spans="1:7" x14ac:dyDescent="0.3">
      <c r="A8">
        <v>44139</v>
      </c>
      <c r="B8">
        <v>0.26669999999999999</v>
      </c>
      <c r="C8">
        <v>0.2382</v>
      </c>
      <c r="D8">
        <v>0.25650000000000001</v>
      </c>
      <c r="E8">
        <v>0.24929999999999999</v>
      </c>
      <c r="F8">
        <v>2.8070175438596578E-2</v>
      </c>
      <c r="G8">
        <v>-3.730228244628786E-2</v>
      </c>
    </row>
    <row r="9" spans="1:7" x14ac:dyDescent="0.3">
      <c r="A9">
        <v>44140</v>
      </c>
      <c r="B9">
        <v>0.27379999999999999</v>
      </c>
      <c r="C9">
        <v>0.23899999999999999</v>
      </c>
      <c r="D9">
        <v>0.24929999999999999</v>
      </c>
      <c r="E9">
        <v>0.26390000000000002</v>
      </c>
      <c r="F9">
        <v>-5.8563979141596612E-2</v>
      </c>
      <c r="G9">
        <v>-3.5339989072666667E-2</v>
      </c>
    </row>
    <row r="10" spans="1:7" x14ac:dyDescent="0.3">
      <c r="A10">
        <v>44141</v>
      </c>
      <c r="B10">
        <v>0.31850000000000001</v>
      </c>
      <c r="C10">
        <v>0.26050000000000001</v>
      </c>
      <c r="D10">
        <v>0.26390000000000002</v>
      </c>
      <c r="E10">
        <v>0.3145</v>
      </c>
      <c r="F10">
        <v>-0.19173929518757094</v>
      </c>
      <c r="G10">
        <v>-9.4581304420830348E-2</v>
      </c>
    </row>
    <row r="11" spans="1:7" x14ac:dyDescent="0.3">
      <c r="A11">
        <v>44142</v>
      </c>
      <c r="B11">
        <v>0.35</v>
      </c>
      <c r="C11">
        <v>0.27060000000000001</v>
      </c>
      <c r="D11">
        <v>0.3145</v>
      </c>
      <c r="E11">
        <v>0.28349999999999997</v>
      </c>
      <c r="F11">
        <v>9.8569157392686901E-2</v>
      </c>
      <c r="G11">
        <v>4.4924614305750343E-2</v>
      </c>
    </row>
    <row r="12" spans="1:7" x14ac:dyDescent="0.3">
      <c r="A12">
        <v>44143</v>
      </c>
      <c r="B12">
        <v>0.32500000000000001</v>
      </c>
      <c r="C12">
        <v>0.27800000000000002</v>
      </c>
      <c r="D12">
        <v>0.28349999999999997</v>
      </c>
      <c r="E12">
        <v>0.30599999999999999</v>
      </c>
      <c r="F12">
        <v>-7.9365079365079527E-2</v>
      </c>
      <c r="G12">
        <v>-4.3412417970721817E-2</v>
      </c>
    </row>
    <row r="13" spans="1:7" x14ac:dyDescent="0.3">
      <c r="A13">
        <v>44144</v>
      </c>
      <c r="B13">
        <v>0.33400000000000002</v>
      </c>
      <c r="C13">
        <v>0.29389999999999999</v>
      </c>
      <c r="D13">
        <v>0.30599999999999999</v>
      </c>
      <c r="E13">
        <v>0.32819999999999999</v>
      </c>
      <c r="F13">
        <v>-7.2549019607843102E-2</v>
      </c>
      <c r="G13">
        <v>2.2628315081145267E-2</v>
      </c>
    </row>
    <row r="14" spans="1:7" x14ac:dyDescent="0.3">
      <c r="A14">
        <v>44145</v>
      </c>
      <c r="B14">
        <v>0.34789999999999999</v>
      </c>
      <c r="C14">
        <v>0.31559999999999999</v>
      </c>
      <c r="D14">
        <v>0.32819999999999999</v>
      </c>
      <c r="E14">
        <v>0.34200000000000003</v>
      </c>
      <c r="F14">
        <v>-4.2047531992687404E-2</v>
      </c>
      <c r="G14">
        <v>-1.4422319721003607E-2</v>
      </c>
    </row>
    <row r="15" spans="1:7" x14ac:dyDescent="0.3">
      <c r="A15">
        <v>44146</v>
      </c>
      <c r="B15">
        <v>0.35630000000000001</v>
      </c>
      <c r="C15">
        <v>0.31059999999999999</v>
      </c>
      <c r="D15">
        <v>0.34200000000000003</v>
      </c>
      <c r="E15">
        <v>0.31530000000000002</v>
      </c>
      <c r="F15">
        <v>7.8070175438596512E-2</v>
      </c>
      <c r="G15">
        <v>-2.8944683493767442E-2</v>
      </c>
    </row>
    <row r="16" spans="1:7" x14ac:dyDescent="0.3">
      <c r="A16">
        <v>44147</v>
      </c>
      <c r="B16">
        <v>0.32450000000000001</v>
      </c>
      <c r="C16">
        <v>0.29120000000000001</v>
      </c>
      <c r="D16">
        <v>0.31530000000000002</v>
      </c>
      <c r="E16">
        <v>0.29809999999999998</v>
      </c>
      <c r="F16">
        <v>5.4551221059308763E-2</v>
      </c>
      <c r="G16">
        <v>2.4358172921472576E-3</v>
      </c>
    </row>
    <row r="17" spans="1:7" x14ac:dyDescent="0.3">
      <c r="A17">
        <v>44148</v>
      </c>
      <c r="B17">
        <v>0.32679999999999998</v>
      </c>
      <c r="C17">
        <v>0.29399999999999998</v>
      </c>
      <c r="D17">
        <v>0.29809999999999998</v>
      </c>
      <c r="E17">
        <v>0.31919999999999998</v>
      </c>
      <c r="F17">
        <v>-7.0781616907078293E-2</v>
      </c>
      <c r="G17">
        <v>-3.0446432430096371E-2</v>
      </c>
    </row>
    <row r="18" spans="1:7" x14ac:dyDescent="0.3">
      <c r="A18">
        <v>44149</v>
      </c>
      <c r="B18">
        <v>0.32</v>
      </c>
      <c r="C18">
        <v>0.29399999999999998</v>
      </c>
      <c r="D18">
        <v>0.31919999999999998</v>
      </c>
      <c r="E18">
        <v>0.30599999999999999</v>
      </c>
      <c r="F18">
        <v>4.1353383458646586E-2</v>
      </c>
      <c r="G18">
        <v>3.3216599911925715E-2</v>
      </c>
    </row>
    <row r="19" spans="1:7" x14ac:dyDescent="0.3">
      <c r="A19">
        <v>44150</v>
      </c>
      <c r="B19">
        <v>0.32100000000000001</v>
      </c>
      <c r="C19">
        <v>0.29599999999999999</v>
      </c>
      <c r="D19">
        <v>0.30599999999999999</v>
      </c>
      <c r="E19">
        <v>0.30559999999999998</v>
      </c>
      <c r="F19">
        <v>1.3071895424836555E-3</v>
      </c>
      <c r="G19">
        <v>2.7156584170227482E-2</v>
      </c>
    </row>
    <row r="20" spans="1:7" x14ac:dyDescent="0.3">
      <c r="A20">
        <v>44151</v>
      </c>
      <c r="B20">
        <v>0.33879999999999999</v>
      </c>
      <c r="C20">
        <v>0.2969</v>
      </c>
      <c r="D20">
        <v>0.30559999999999998</v>
      </c>
      <c r="E20">
        <v>0.32200000000000001</v>
      </c>
      <c r="F20">
        <v>-5.3664921465968574E-2</v>
      </c>
      <c r="G20">
        <v>-2.7870058638603368E-2</v>
      </c>
    </row>
    <row r="21" spans="1:7" x14ac:dyDescent="0.3">
      <c r="A21">
        <v>44152</v>
      </c>
      <c r="B21">
        <v>0.34789999999999999</v>
      </c>
      <c r="C21">
        <v>0.31430000000000002</v>
      </c>
      <c r="D21">
        <v>0.32200000000000001</v>
      </c>
      <c r="E21">
        <v>0.34510000000000002</v>
      </c>
      <c r="F21">
        <v>-7.1739130434782528E-2</v>
      </c>
      <c r="G21">
        <v>-4.7070562460684195E-2</v>
      </c>
    </row>
    <row r="22" spans="1:7" x14ac:dyDescent="0.3">
      <c r="A22">
        <v>44153</v>
      </c>
      <c r="B22">
        <v>0.35210000000000002</v>
      </c>
      <c r="C22">
        <v>0.30880000000000002</v>
      </c>
      <c r="D22">
        <v>0.34510000000000002</v>
      </c>
      <c r="E22">
        <v>0.32390000000000002</v>
      </c>
      <c r="F22">
        <v>6.1431469139379913E-2</v>
      </c>
      <c r="G22">
        <v>8.1829669988191522E-3</v>
      </c>
    </row>
    <row r="23" spans="1:7" x14ac:dyDescent="0.3">
      <c r="A23">
        <v>44154</v>
      </c>
      <c r="B23">
        <v>0.33</v>
      </c>
      <c r="C23">
        <v>0.30830000000000002</v>
      </c>
      <c r="D23">
        <v>0.32390000000000002</v>
      </c>
      <c r="E23">
        <v>0.31440000000000001</v>
      </c>
      <c r="F23">
        <v>2.9330040135844393E-2</v>
      </c>
      <c r="G23">
        <v>1.4495780766981325E-2</v>
      </c>
    </row>
    <row r="24" spans="1:7" x14ac:dyDescent="0.3">
      <c r="A24">
        <v>44155</v>
      </c>
      <c r="B24">
        <v>0.33579999999999999</v>
      </c>
      <c r="C24">
        <v>0.31240000000000001</v>
      </c>
      <c r="D24">
        <v>0.31440000000000001</v>
      </c>
      <c r="E24">
        <v>0.32190000000000002</v>
      </c>
      <c r="F24">
        <v>-2.385496183206115E-2</v>
      </c>
      <c r="G24">
        <v>-8.1832054597092085E-2</v>
      </c>
    </row>
    <row r="25" spans="1:7" x14ac:dyDescent="0.3">
      <c r="A25">
        <v>44156</v>
      </c>
      <c r="B25">
        <v>0.35949999999999999</v>
      </c>
      <c r="C25">
        <v>0.31419999999999998</v>
      </c>
      <c r="D25">
        <v>0.32190000000000002</v>
      </c>
      <c r="E25">
        <v>0.35799999999999998</v>
      </c>
      <c r="F25">
        <v>-0.11214662938800868</v>
      </c>
      <c r="G25">
        <v>-8.195051231314765E-2</v>
      </c>
    </row>
    <row r="26" spans="1:7" x14ac:dyDescent="0.3">
      <c r="A26">
        <v>44157</v>
      </c>
      <c r="B26">
        <v>0.375</v>
      </c>
      <c r="C26">
        <v>0.32150000000000001</v>
      </c>
      <c r="D26">
        <v>0.35799999999999998</v>
      </c>
      <c r="E26">
        <v>0.35970000000000002</v>
      </c>
      <c r="F26">
        <v>-4.7486033519554827E-3</v>
      </c>
      <c r="G26">
        <v>-1.4033245210589129E-2</v>
      </c>
    </row>
    <row r="27" spans="1:7" x14ac:dyDescent="0.3">
      <c r="A27">
        <v>44158</v>
      </c>
      <c r="B27">
        <v>0.38800000000000001</v>
      </c>
      <c r="C27">
        <v>0.34260000000000002</v>
      </c>
      <c r="D27">
        <v>0.35970000000000002</v>
      </c>
      <c r="E27">
        <v>0.36599999999999999</v>
      </c>
      <c r="F27">
        <v>-1.7514595496246788E-2</v>
      </c>
      <c r="G27">
        <v>-8.7712719415724782E-2</v>
      </c>
    </row>
    <row r="28" spans="1:7" x14ac:dyDescent="0.3">
      <c r="A28">
        <v>44159</v>
      </c>
      <c r="B28">
        <v>0.40400000000000003</v>
      </c>
      <c r="C28">
        <v>0.35349999999999998</v>
      </c>
      <c r="D28">
        <v>0.36599999999999999</v>
      </c>
      <c r="E28">
        <v>0.37430000000000002</v>
      </c>
      <c r="F28">
        <v>-2.2677595628415315E-2</v>
      </c>
      <c r="G28">
        <v>6.8129955838654999E-3</v>
      </c>
    </row>
    <row r="29" spans="1:7" x14ac:dyDescent="0.3">
      <c r="A29">
        <v>44160</v>
      </c>
      <c r="B29">
        <v>0.40970000000000001</v>
      </c>
      <c r="C29">
        <v>0.35299999999999998</v>
      </c>
      <c r="D29">
        <v>0.37430000000000002</v>
      </c>
      <c r="E29">
        <v>0.36749999999999999</v>
      </c>
      <c r="F29">
        <v>1.8167245524980058E-2</v>
      </c>
      <c r="G29">
        <v>5.8811861549142197E-2</v>
      </c>
    </row>
    <row r="30" spans="1:7" x14ac:dyDescent="0.3">
      <c r="A30">
        <v>44161</v>
      </c>
      <c r="B30">
        <v>0.39810000000000001</v>
      </c>
      <c r="C30">
        <v>0.28999999999999998</v>
      </c>
      <c r="D30">
        <v>0.36749999999999999</v>
      </c>
      <c r="E30">
        <v>0.31940000000000002</v>
      </c>
      <c r="F30">
        <v>0.13088435374149654</v>
      </c>
      <c r="G30">
        <v>8.6371619248331477E-2</v>
      </c>
    </row>
    <row r="31" spans="1:7" x14ac:dyDescent="0.3">
      <c r="A31">
        <v>44162</v>
      </c>
      <c r="B31">
        <v>0.3327</v>
      </c>
      <c r="C31">
        <v>0.29320000000000002</v>
      </c>
      <c r="D31">
        <v>0.31940000000000002</v>
      </c>
      <c r="E31">
        <v>0.3115</v>
      </c>
      <c r="F31">
        <v>2.4733876017532963E-2</v>
      </c>
      <c r="G31">
        <v>2.671946484179788E-3</v>
      </c>
    </row>
    <row r="32" spans="1:7" x14ac:dyDescent="0.3">
      <c r="A32">
        <v>44163</v>
      </c>
      <c r="B32">
        <v>0.32769999999999999</v>
      </c>
      <c r="C32">
        <v>0.3014</v>
      </c>
      <c r="D32">
        <v>0.3115</v>
      </c>
      <c r="E32">
        <v>0.32069999999999999</v>
      </c>
      <c r="F32">
        <v>-2.953451043338684E-2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B5DA-CA06-45B3-98D7-719FCD135246}">
  <sheetPr codeName="Sheet13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0.1464</v>
      </c>
      <c r="C2">
        <v>0.1303</v>
      </c>
      <c r="D2">
        <v>0.1452</v>
      </c>
      <c r="E2">
        <v>0.13339999999999999</v>
      </c>
      <c r="F2"/>
      <c r="G2"/>
    </row>
    <row r="3" spans="1:7" x14ac:dyDescent="0.3">
      <c r="A3">
        <v>44134</v>
      </c>
      <c r="B3">
        <v>0.1363</v>
      </c>
      <c r="C3">
        <v>0.12</v>
      </c>
      <c r="D3">
        <v>0.13339999999999999</v>
      </c>
      <c r="E3">
        <v>0.12809999999999999</v>
      </c>
      <c r="F3">
        <v>3.9730134932533745E-2</v>
      </c>
      <c r="G3">
        <v>1.2334210662125256E-2</v>
      </c>
    </row>
    <row r="4" spans="1:7" x14ac:dyDescent="0.3">
      <c r="A4">
        <v>44135</v>
      </c>
      <c r="B4">
        <v>0.1449</v>
      </c>
      <c r="C4">
        <v>0.12670000000000001</v>
      </c>
      <c r="D4">
        <v>0.12809999999999999</v>
      </c>
      <c r="E4">
        <v>0.14269999999999999</v>
      </c>
      <c r="F4">
        <v>-0.11397345823575344</v>
      </c>
      <c r="G4">
        <v>-1.0476538823283477E-2</v>
      </c>
    </row>
    <row r="5" spans="1:7" x14ac:dyDescent="0.3">
      <c r="A5">
        <v>44136</v>
      </c>
      <c r="B5">
        <v>0.1638</v>
      </c>
      <c r="C5">
        <v>0.14169999999999999</v>
      </c>
      <c r="D5">
        <v>0.14269999999999999</v>
      </c>
      <c r="E5">
        <v>0.14899999999999999</v>
      </c>
      <c r="F5">
        <v>-4.414856341976181E-2</v>
      </c>
      <c r="G5">
        <v>-2.5803449078263707E-2</v>
      </c>
    </row>
    <row r="6" spans="1:7" x14ac:dyDescent="0.3">
      <c r="A6">
        <v>44137</v>
      </c>
      <c r="B6">
        <v>0.1517</v>
      </c>
      <c r="C6">
        <v>0.13650000000000001</v>
      </c>
      <c r="D6">
        <v>0.14899999999999999</v>
      </c>
      <c r="E6">
        <v>0.1394</v>
      </c>
      <c r="F6">
        <v>6.4429530201342233E-2</v>
      </c>
      <c r="G6">
        <v>3.3119092627599156E-2</v>
      </c>
    </row>
    <row r="7" spans="1:7" x14ac:dyDescent="0.3">
      <c r="A7">
        <v>44138</v>
      </c>
      <c r="B7">
        <v>0.1394</v>
      </c>
      <c r="C7">
        <v>0.1295</v>
      </c>
      <c r="D7">
        <v>0.1394</v>
      </c>
      <c r="E7">
        <v>0.13139999999999999</v>
      </c>
      <c r="F7">
        <v>5.7388809182209566E-2</v>
      </c>
      <c r="G7">
        <v>-1.191314095044449E-2</v>
      </c>
    </row>
    <row r="8" spans="1:7" x14ac:dyDescent="0.3">
      <c r="A8">
        <v>44139</v>
      </c>
      <c r="B8">
        <v>0.13139999999999999</v>
      </c>
      <c r="C8">
        <v>0.1181</v>
      </c>
      <c r="D8">
        <v>0.13139999999999999</v>
      </c>
      <c r="E8">
        <v>0.1244</v>
      </c>
      <c r="F8">
        <v>5.3272450532724447E-2</v>
      </c>
      <c r="G8">
        <v>-3.730228244628786E-2</v>
      </c>
    </row>
    <row r="9" spans="1:7" x14ac:dyDescent="0.3">
      <c r="A9">
        <v>44140</v>
      </c>
      <c r="B9">
        <v>0.1288</v>
      </c>
      <c r="C9">
        <v>0.115</v>
      </c>
      <c r="D9">
        <v>0.1244</v>
      </c>
      <c r="E9">
        <v>0.1207</v>
      </c>
      <c r="F9">
        <v>2.9742765273311877E-2</v>
      </c>
      <c r="G9">
        <v>-3.5339989072666667E-2</v>
      </c>
    </row>
    <row r="10" spans="1:7" x14ac:dyDescent="0.3">
      <c r="A10">
        <v>44141</v>
      </c>
      <c r="B10">
        <v>0.1401</v>
      </c>
      <c r="C10">
        <v>0.1203</v>
      </c>
      <c r="D10">
        <v>0.1207</v>
      </c>
      <c r="E10">
        <v>0.1381</v>
      </c>
      <c r="F10">
        <v>-0.14415907207953604</v>
      </c>
      <c r="G10">
        <v>-9.4581304420830348E-2</v>
      </c>
    </row>
    <row r="11" spans="1:7" x14ac:dyDescent="0.3">
      <c r="A11">
        <v>44142</v>
      </c>
      <c r="B11">
        <v>0.16</v>
      </c>
      <c r="C11">
        <v>0.13420000000000001</v>
      </c>
      <c r="D11">
        <v>0.1381</v>
      </c>
      <c r="E11">
        <v>0.14410000000000001</v>
      </c>
      <c r="F11">
        <v>-4.344677769732086E-2</v>
      </c>
      <c r="G11">
        <v>4.4924614305750343E-2</v>
      </c>
    </row>
    <row r="12" spans="1:7" x14ac:dyDescent="0.3">
      <c r="A12">
        <v>44143</v>
      </c>
      <c r="B12">
        <v>0.161</v>
      </c>
      <c r="C12">
        <v>0.13900000000000001</v>
      </c>
      <c r="D12">
        <v>0.14410000000000001</v>
      </c>
      <c r="E12">
        <v>0.15609999999999999</v>
      </c>
      <c r="F12">
        <v>-8.3275503122831163E-2</v>
      </c>
      <c r="G12">
        <v>-4.3412417970721817E-2</v>
      </c>
    </row>
    <row r="13" spans="1:7" x14ac:dyDescent="0.3">
      <c r="A13">
        <v>44144</v>
      </c>
      <c r="B13">
        <v>0.17319999999999999</v>
      </c>
      <c r="C13">
        <v>0.14779999999999999</v>
      </c>
      <c r="D13">
        <v>0.15609999999999999</v>
      </c>
      <c r="E13">
        <v>0.15640000000000001</v>
      </c>
      <c r="F13">
        <v>-1.9218449711724261E-3</v>
      </c>
      <c r="G13">
        <v>2.2628315081145267E-2</v>
      </c>
    </row>
    <row r="14" spans="1:7" x14ac:dyDescent="0.3">
      <c r="A14">
        <v>44145</v>
      </c>
      <c r="B14">
        <v>0.28799999999999998</v>
      </c>
      <c r="C14">
        <v>0.15490000000000001</v>
      </c>
      <c r="D14">
        <v>0.15640000000000001</v>
      </c>
      <c r="E14">
        <v>0.2165</v>
      </c>
      <c r="F14">
        <v>-0.38427109974424534</v>
      </c>
      <c r="G14">
        <v>-1.4422319721003607E-2</v>
      </c>
    </row>
    <row r="15" spans="1:7" x14ac:dyDescent="0.3">
      <c r="A15">
        <v>44146</v>
      </c>
      <c r="B15">
        <v>0.22850000000000001</v>
      </c>
      <c r="C15">
        <v>0.1789</v>
      </c>
      <c r="D15">
        <v>0.2165</v>
      </c>
      <c r="E15">
        <v>0.1857</v>
      </c>
      <c r="F15">
        <v>0.14226327944572748</v>
      </c>
      <c r="G15">
        <v>-2.8944683493767442E-2</v>
      </c>
    </row>
    <row r="16" spans="1:7" x14ac:dyDescent="0.3">
      <c r="A16">
        <v>44147</v>
      </c>
      <c r="B16">
        <v>0.189</v>
      </c>
      <c r="C16">
        <v>0.1714</v>
      </c>
      <c r="D16">
        <v>0.1857</v>
      </c>
      <c r="E16">
        <v>0.17899999999999999</v>
      </c>
      <c r="F16">
        <v>3.6079698438341468E-2</v>
      </c>
      <c r="G16">
        <v>2.4358172921472576E-3</v>
      </c>
    </row>
    <row r="17" spans="1:7" x14ac:dyDescent="0.3">
      <c r="A17">
        <v>44148</v>
      </c>
      <c r="B17">
        <v>0.19600000000000001</v>
      </c>
      <c r="C17">
        <v>0.17660000000000001</v>
      </c>
      <c r="D17">
        <v>0.17899999999999999</v>
      </c>
      <c r="E17">
        <v>0.1905</v>
      </c>
      <c r="F17">
        <v>-6.4245810055866048E-2</v>
      </c>
      <c r="G17">
        <v>-3.0446432430096371E-2</v>
      </c>
    </row>
    <row r="18" spans="1:7" x14ac:dyDescent="0.3">
      <c r="A18">
        <v>44149</v>
      </c>
      <c r="B18">
        <v>0.19339999999999999</v>
      </c>
      <c r="C18">
        <v>0.1734</v>
      </c>
      <c r="D18">
        <v>0.1905</v>
      </c>
      <c r="E18">
        <v>0.1787</v>
      </c>
      <c r="F18">
        <v>6.194225721784774E-2</v>
      </c>
      <c r="G18">
        <v>3.3216599911925715E-2</v>
      </c>
    </row>
    <row r="19" spans="1:7" x14ac:dyDescent="0.3">
      <c r="A19">
        <v>44150</v>
      </c>
      <c r="B19">
        <v>0.18820000000000001</v>
      </c>
      <c r="C19">
        <v>0.1711</v>
      </c>
      <c r="D19">
        <v>0.1787</v>
      </c>
      <c r="E19">
        <v>0.1769</v>
      </c>
      <c r="F19">
        <v>1.0072747621712397E-2</v>
      </c>
      <c r="G19">
        <v>2.7156584170227482E-2</v>
      </c>
    </row>
    <row r="20" spans="1:7" x14ac:dyDescent="0.3">
      <c r="A20">
        <v>44151</v>
      </c>
      <c r="B20">
        <v>0.19189999999999999</v>
      </c>
      <c r="C20">
        <v>0.17280000000000001</v>
      </c>
      <c r="D20">
        <v>0.1769</v>
      </c>
      <c r="E20">
        <v>0.18479999999999999</v>
      </c>
      <c r="F20">
        <v>-4.4657998869417792E-2</v>
      </c>
      <c r="G20">
        <v>-2.7870058638603368E-2</v>
      </c>
    </row>
    <row r="21" spans="1:7" x14ac:dyDescent="0.3">
      <c r="A21">
        <v>44152</v>
      </c>
      <c r="B21">
        <v>0.1895</v>
      </c>
      <c r="C21">
        <v>0.1802</v>
      </c>
      <c r="D21">
        <v>0.18479999999999999</v>
      </c>
      <c r="E21">
        <v>0.18529999999999999</v>
      </c>
      <c r="F21">
        <v>-2.7056277056276556E-3</v>
      </c>
      <c r="G21">
        <v>-4.7070562460684195E-2</v>
      </c>
    </row>
    <row r="22" spans="1:7" x14ac:dyDescent="0.3">
      <c r="A22">
        <v>44153</v>
      </c>
      <c r="B22">
        <v>0.1898</v>
      </c>
      <c r="C22">
        <v>0.17030000000000001</v>
      </c>
      <c r="D22">
        <v>0.18529999999999999</v>
      </c>
      <c r="E22">
        <v>0.1772</v>
      </c>
      <c r="F22">
        <v>4.3712898003237965E-2</v>
      </c>
      <c r="G22">
        <v>8.1829669988191522E-3</v>
      </c>
    </row>
    <row r="23" spans="1:7" x14ac:dyDescent="0.3">
      <c r="A23">
        <v>44154</v>
      </c>
      <c r="B23">
        <v>0.18909999999999999</v>
      </c>
      <c r="C23">
        <v>0.17299999999999999</v>
      </c>
      <c r="D23">
        <v>0.1772</v>
      </c>
      <c r="E23">
        <v>0.17649999999999999</v>
      </c>
      <c r="F23">
        <v>3.950338600451464E-3</v>
      </c>
      <c r="G23">
        <v>1.4495780766981325E-2</v>
      </c>
    </row>
    <row r="24" spans="1:7" x14ac:dyDescent="0.3">
      <c r="A24">
        <v>44155</v>
      </c>
      <c r="B24">
        <v>0.2001</v>
      </c>
      <c r="C24">
        <v>0.17449999999999999</v>
      </c>
      <c r="D24">
        <v>0.17649999999999999</v>
      </c>
      <c r="E24">
        <v>0.18729999999999999</v>
      </c>
      <c r="F24">
        <v>-6.1189801699716773E-2</v>
      </c>
      <c r="G24">
        <v>-8.1832054597092085E-2</v>
      </c>
    </row>
    <row r="25" spans="1:7" x14ac:dyDescent="0.3">
      <c r="A25">
        <v>44156</v>
      </c>
      <c r="B25">
        <v>0.21199999999999999</v>
      </c>
      <c r="C25">
        <v>0.18090000000000001</v>
      </c>
      <c r="D25">
        <v>0.18729999999999999</v>
      </c>
      <c r="E25">
        <v>0.1988</v>
      </c>
      <c r="F25">
        <v>-6.1398825413774727E-2</v>
      </c>
      <c r="G25">
        <v>-8.195051231314765E-2</v>
      </c>
    </row>
    <row r="26" spans="1:7" x14ac:dyDescent="0.3">
      <c r="A26">
        <v>44157</v>
      </c>
      <c r="B26">
        <v>0.2019</v>
      </c>
      <c r="C26">
        <v>0.17910000000000001</v>
      </c>
      <c r="D26">
        <v>0.1988</v>
      </c>
      <c r="E26">
        <v>0.18870000000000001</v>
      </c>
      <c r="F26">
        <v>5.0804828973843086E-2</v>
      </c>
      <c r="G26">
        <v>-1.4033245210589129E-2</v>
      </c>
    </row>
    <row r="27" spans="1:7" x14ac:dyDescent="0.3">
      <c r="A27">
        <v>44158</v>
      </c>
      <c r="B27">
        <v>0.2029</v>
      </c>
      <c r="C27">
        <v>0.18529999999999999</v>
      </c>
      <c r="D27">
        <v>0.18870000000000001</v>
      </c>
      <c r="E27">
        <v>0.19769999999999999</v>
      </c>
      <c r="F27">
        <v>-4.7694753577106397E-2</v>
      </c>
      <c r="G27">
        <v>-8.7712719415724782E-2</v>
      </c>
    </row>
    <row r="28" spans="1:7" x14ac:dyDescent="0.3">
      <c r="A28">
        <v>44159</v>
      </c>
      <c r="B28">
        <v>0.24729999999999999</v>
      </c>
      <c r="C28">
        <v>0.19359999999999999</v>
      </c>
      <c r="D28">
        <v>0.19769999999999999</v>
      </c>
      <c r="E28">
        <v>0.2248</v>
      </c>
      <c r="F28">
        <v>-0.13707637835103692</v>
      </c>
      <c r="G28">
        <v>6.8129955838654999E-3</v>
      </c>
    </row>
    <row r="29" spans="1:7" x14ac:dyDescent="0.3">
      <c r="A29">
        <v>44160</v>
      </c>
      <c r="B29">
        <v>0.2394</v>
      </c>
      <c r="C29">
        <v>0.20100000000000001</v>
      </c>
      <c r="D29">
        <v>0.2248</v>
      </c>
      <c r="E29">
        <v>0.20960000000000001</v>
      </c>
      <c r="F29">
        <v>6.7615658362989328E-2</v>
      </c>
      <c r="G29">
        <v>5.8811861549142197E-2</v>
      </c>
    </row>
    <row r="30" spans="1:7" x14ac:dyDescent="0.3">
      <c r="A30">
        <v>44161</v>
      </c>
      <c r="B30">
        <v>0.2223</v>
      </c>
      <c r="C30">
        <v>0.16259999999999999</v>
      </c>
      <c r="D30">
        <v>0.20960000000000001</v>
      </c>
      <c r="E30">
        <v>0.19070000000000001</v>
      </c>
      <c r="F30">
        <v>9.0171755725190872E-2</v>
      </c>
      <c r="G30">
        <v>8.6371619248331477E-2</v>
      </c>
    </row>
    <row r="31" spans="1:7" x14ac:dyDescent="0.3">
      <c r="A31">
        <v>44162</v>
      </c>
      <c r="B31">
        <v>0.1963</v>
      </c>
      <c r="C31">
        <v>0.17169999999999999</v>
      </c>
      <c r="D31">
        <v>0.19070000000000001</v>
      </c>
      <c r="E31">
        <v>0.187</v>
      </c>
      <c r="F31">
        <v>1.9402202412165725E-2</v>
      </c>
      <c r="G31">
        <v>2.671946484179788E-3</v>
      </c>
    </row>
    <row r="32" spans="1:7" x14ac:dyDescent="0.3">
      <c r="A32">
        <v>44163</v>
      </c>
      <c r="B32">
        <v>0.21390000000000001</v>
      </c>
      <c r="C32">
        <v>0.18279999999999999</v>
      </c>
      <c r="D32">
        <v>0.187</v>
      </c>
      <c r="E32">
        <v>0.19600000000000001</v>
      </c>
      <c r="F32">
        <v>-4.8128342245989275E-2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C15C-AF6C-499F-B11F-F0CBAA8A8271}">
  <sheetPr codeName="Sheet14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0.87139999999999995</v>
      </c>
      <c r="C2">
        <v>0.80789999999999995</v>
      </c>
      <c r="D2">
        <v>0.85850000000000004</v>
      </c>
      <c r="E2">
        <v>0.81640000000000001</v>
      </c>
      <c r="F2"/>
      <c r="G2"/>
    </row>
    <row r="3" spans="1:7" x14ac:dyDescent="0.3">
      <c r="A3">
        <v>44134</v>
      </c>
      <c r="B3">
        <v>0.82809999999999995</v>
      </c>
      <c r="C3">
        <v>0.76670000000000005</v>
      </c>
      <c r="D3">
        <v>0.81640000000000001</v>
      </c>
      <c r="E3">
        <v>0.79949999999999999</v>
      </c>
      <c r="F3">
        <v>2.070063694267521E-2</v>
      </c>
      <c r="G3">
        <v>1.2334210662125256E-2</v>
      </c>
    </row>
    <row r="4" spans="1:7" x14ac:dyDescent="0.3">
      <c r="A4">
        <v>44135</v>
      </c>
      <c r="B4">
        <v>0.81489999999999996</v>
      </c>
      <c r="C4">
        <v>0.78739999999999999</v>
      </c>
      <c r="D4">
        <v>0.79949999999999999</v>
      </c>
      <c r="E4">
        <v>0.78790000000000004</v>
      </c>
      <c r="F4">
        <v>1.4509068167604666E-2</v>
      </c>
      <c r="G4">
        <v>-1.0476538823283477E-2</v>
      </c>
    </row>
    <row r="5" spans="1:7" x14ac:dyDescent="0.3">
      <c r="A5">
        <v>44136</v>
      </c>
      <c r="B5">
        <v>0.80500000000000005</v>
      </c>
      <c r="C5">
        <v>0.77749999999999997</v>
      </c>
      <c r="D5">
        <v>0.78790000000000004</v>
      </c>
      <c r="E5">
        <v>0.79110000000000003</v>
      </c>
      <c r="F5">
        <v>-4.0614291153699966E-3</v>
      </c>
      <c r="G5">
        <v>-2.5803449078263707E-2</v>
      </c>
    </row>
    <row r="6" spans="1:7" x14ac:dyDescent="0.3">
      <c r="A6">
        <v>44137</v>
      </c>
      <c r="B6">
        <v>0.81079999999999997</v>
      </c>
      <c r="C6">
        <v>0.76219999999999999</v>
      </c>
      <c r="D6">
        <v>0.79110000000000003</v>
      </c>
      <c r="E6">
        <v>0.77629999999999999</v>
      </c>
      <c r="F6">
        <v>1.8708127923145024E-2</v>
      </c>
      <c r="G6">
        <v>3.3119092627599156E-2</v>
      </c>
    </row>
    <row r="7" spans="1:7" x14ac:dyDescent="0.3">
      <c r="A7">
        <v>44138</v>
      </c>
      <c r="B7">
        <v>0.77629999999999999</v>
      </c>
      <c r="C7">
        <v>0.72430000000000005</v>
      </c>
      <c r="D7">
        <v>0.77629999999999999</v>
      </c>
      <c r="E7">
        <v>0.74050000000000005</v>
      </c>
      <c r="F7">
        <v>4.6116192193739414E-2</v>
      </c>
      <c r="G7">
        <v>-1.191314095044449E-2</v>
      </c>
    </row>
    <row r="8" spans="1:7" x14ac:dyDescent="0.3">
      <c r="A8">
        <v>44139</v>
      </c>
      <c r="B8">
        <v>0.74219999999999997</v>
      </c>
      <c r="C8">
        <v>0.69420000000000004</v>
      </c>
      <c r="D8">
        <v>0.74050000000000005</v>
      </c>
      <c r="E8">
        <v>0.70830000000000004</v>
      </c>
      <c r="F8">
        <v>4.3484132343011517E-2</v>
      </c>
      <c r="G8">
        <v>-3.730228244628786E-2</v>
      </c>
    </row>
    <row r="9" spans="1:7" x14ac:dyDescent="0.3">
      <c r="A9">
        <v>44140</v>
      </c>
      <c r="B9">
        <v>0.75949999999999995</v>
      </c>
      <c r="C9">
        <v>0.68610000000000004</v>
      </c>
      <c r="D9">
        <v>0.70830000000000004</v>
      </c>
      <c r="E9">
        <v>0.75939999999999996</v>
      </c>
      <c r="F9">
        <v>-7.2144571509247468E-2</v>
      </c>
      <c r="G9">
        <v>-3.5339989072666667E-2</v>
      </c>
    </row>
    <row r="10" spans="1:7" x14ac:dyDescent="0.3">
      <c r="A10">
        <v>44141</v>
      </c>
      <c r="B10">
        <v>0.82399999999999995</v>
      </c>
      <c r="C10">
        <v>0.75890000000000002</v>
      </c>
      <c r="D10">
        <v>0.75939999999999996</v>
      </c>
      <c r="E10">
        <v>0.81330000000000002</v>
      </c>
      <c r="F10">
        <v>-7.0977087174084907E-2</v>
      </c>
      <c r="G10">
        <v>-9.4581304420830348E-2</v>
      </c>
    </row>
    <row r="11" spans="1:7" x14ac:dyDescent="0.3">
      <c r="A11">
        <v>44142</v>
      </c>
      <c r="B11">
        <v>0.88919999999999999</v>
      </c>
      <c r="C11">
        <v>0.7621</v>
      </c>
      <c r="D11">
        <v>0.81330000000000002</v>
      </c>
      <c r="E11">
        <v>0.77959999999999996</v>
      </c>
      <c r="F11">
        <v>4.1436124431329269E-2</v>
      </c>
      <c r="G11">
        <v>4.4924614305750343E-2</v>
      </c>
    </row>
    <row r="12" spans="1:7" x14ac:dyDescent="0.3">
      <c r="A12">
        <v>44143</v>
      </c>
      <c r="B12">
        <v>0.84189999999999998</v>
      </c>
      <c r="C12">
        <v>0.7722</v>
      </c>
      <c r="D12">
        <v>0.77959999999999996</v>
      </c>
      <c r="E12">
        <v>0.82110000000000005</v>
      </c>
      <c r="F12">
        <v>-5.3232426885582385E-2</v>
      </c>
      <c r="G12">
        <v>-4.3412417970721817E-2</v>
      </c>
    </row>
    <row r="13" spans="1:7" x14ac:dyDescent="0.3">
      <c r="A13">
        <v>44144</v>
      </c>
      <c r="B13">
        <v>0.84960000000000002</v>
      </c>
      <c r="C13">
        <v>0.79300000000000004</v>
      </c>
      <c r="D13">
        <v>0.82110000000000005</v>
      </c>
      <c r="E13">
        <v>0.80989999999999995</v>
      </c>
      <c r="F13">
        <v>1.364023870417741E-2</v>
      </c>
      <c r="G13">
        <v>2.2628315081145267E-2</v>
      </c>
    </row>
    <row r="14" spans="1:7" x14ac:dyDescent="0.3">
      <c r="A14">
        <v>44145</v>
      </c>
      <c r="B14">
        <v>0.88739999999999997</v>
      </c>
      <c r="C14">
        <v>0.80740000000000001</v>
      </c>
      <c r="D14">
        <v>0.80989999999999995</v>
      </c>
      <c r="E14">
        <v>0.87829999999999997</v>
      </c>
      <c r="F14">
        <v>-8.4454870971724993E-2</v>
      </c>
      <c r="G14">
        <v>-1.4422319721003607E-2</v>
      </c>
    </row>
    <row r="15" spans="1:7" x14ac:dyDescent="0.3">
      <c r="A15">
        <v>44146</v>
      </c>
      <c r="B15">
        <v>0.9798</v>
      </c>
      <c r="C15">
        <v>0.878</v>
      </c>
      <c r="D15">
        <v>0.87829999999999997</v>
      </c>
      <c r="E15">
        <v>0.89270000000000005</v>
      </c>
      <c r="F15">
        <v>-1.6395309119890733E-2</v>
      </c>
      <c r="G15">
        <v>-2.8944683493767442E-2</v>
      </c>
    </row>
    <row r="16" spans="1:7" x14ac:dyDescent="0.3">
      <c r="A16">
        <v>44147</v>
      </c>
      <c r="B16">
        <v>0.9234</v>
      </c>
      <c r="C16">
        <v>0.84850000000000003</v>
      </c>
      <c r="D16">
        <v>0.89270000000000005</v>
      </c>
      <c r="E16">
        <v>0.86199999999999999</v>
      </c>
      <c r="F16">
        <v>3.4390052649266312E-2</v>
      </c>
      <c r="G16">
        <v>2.4358172921472576E-3</v>
      </c>
    </row>
    <row r="17" spans="1:7" x14ac:dyDescent="0.3">
      <c r="A17">
        <v>44148</v>
      </c>
      <c r="B17">
        <v>0.96240000000000003</v>
      </c>
      <c r="C17">
        <v>0.86009999999999998</v>
      </c>
      <c r="D17">
        <v>0.86199999999999999</v>
      </c>
      <c r="E17">
        <v>0.9244</v>
      </c>
      <c r="F17">
        <v>-7.2389791183294694E-2</v>
      </c>
      <c r="G17">
        <v>-3.0446432430096371E-2</v>
      </c>
    </row>
    <row r="18" spans="1:7" x14ac:dyDescent="0.3">
      <c r="A18">
        <v>44149</v>
      </c>
      <c r="B18">
        <v>0.92969999999999997</v>
      </c>
      <c r="C18">
        <v>0.86550000000000005</v>
      </c>
      <c r="D18">
        <v>0.9244</v>
      </c>
      <c r="E18">
        <v>0.89510000000000001</v>
      </c>
      <c r="F18">
        <v>3.1696235395932471E-2</v>
      </c>
      <c r="G18">
        <v>3.3216599911925715E-2</v>
      </c>
    </row>
    <row r="19" spans="1:7" x14ac:dyDescent="0.3">
      <c r="A19">
        <v>44150</v>
      </c>
      <c r="B19">
        <v>0.94930000000000003</v>
      </c>
      <c r="C19">
        <v>0.86890000000000001</v>
      </c>
      <c r="D19">
        <v>0.89510000000000001</v>
      </c>
      <c r="E19">
        <v>0.89049999999999996</v>
      </c>
      <c r="F19">
        <v>5.1390906044017637E-3</v>
      </c>
      <c r="G19">
        <v>2.7156584170227482E-2</v>
      </c>
    </row>
    <row r="20" spans="1:7" x14ac:dyDescent="0.3">
      <c r="A20">
        <v>44151</v>
      </c>
      <c r="B20">
        <v>0.95809999999999995</v>
      </c>
      <c r="C20">
        <v>0.88170000000000004</v>
      </c>
      <c r="D20">
        <v>0.89049999999999996</v>
      </c>
      <c r="E20">
        <v>0.94830000000000003</v>
      </c>
      <c r="F20">
        <v>-6.4907355418304391E-2</v>
      </c>
      <c r="G20">
        <v>-2.7870058638603368E-2</v>
      </c>
    </row>
    <row r="21" spans="1:7" x14ac:dyDescent="0.3">
      <c r="A21">
        <v>44152</v>
      </c>
      <c r="B21">
        <v>0.99029999999999996</v>
      </c>
      <c r="C21">
        <v>0.93100000000000005</v>
      </c>
      <c r="D21">
        <v>0.94830000000000003</v>
      </c>
      <c r="E21">
        <v>0.98850000000000005</v>
      </c>
      <c r="F21">
        <v>-4.2391648212591004E-2</v>
      </c>
      <c r="G21">
        <v>-4.7070562460684195E-2</v>
      </c>
    </row>
    <row r="22" spans="1:7" x14ac:dyDescent="0.3">
      <c r="A22">
        <v>44153</v>
      </c>
      <c r="B22">
        <v>0.99939999999999996</v>
      </c>
      <c r="C22">
        <v>0.87260000000000004</v>
      </c>
      <c r="D22">
        <v>0.98850000000000005</v>
      </c>
      <c r="E22">
        <v>0.92710000000000004</v>
      </c>
      <c r="F22">
        <v>6.2114314618108235E-2</v>
      </c>
      <c r="G22">
        <v>8.1829669988191522E-3</v>
      </c>
    </row>
    <row r="23" spans="1:7" x14ac:dyDescent="0.3">
      <c r="A23">
        <v>44154</v>
      </c>
      <c r="B23">
        <v>0.95679999999999998</v>
      </c>
      <c r="C23">
        <v>0.90129999999999999</v>
      </c>
      <c r="D23">
        <v>0.92710000000000004</v>
      </c>
      <c r="E23">
        <v>0.91169999999999995</v>
      </c>
      <c r="F23">
        <v>1.6610937331463793E-2</v>
      </c>
      <c r="G23">
        <v>1.4495780766981325E-2</v>
      </c>
    </row>
    <row r="24" spans="1:7" x14ac:dyDescent="0.3">
      <c r="A24">
        <v>44155</v>
      </c>
      <c r="B24">
        <v>0.96</v>
      </c>
      <c r="C24">
        <v>0.90620000000000001</v>
      </c>
      <c r="D24">
        <v>0.91169999999999995</v>
      </c>
      <c r="E24">
        <v>0.94140000000000001</v>
      </c>
      <c r="F24">
        <v>-3.257650542941759E-2</v>
      </c>
      <c r="G24">
        <v>-8.1832054597092085E-2</v>
      </c>
    </row>
    <row r="25" spans="1:7" x14ac:dyDescent="0.3">
      <c r="A25">
        <v>44156</v>
      </c>
      <c r="B25">
        <v>1.056</v>
      </c>
      <c r="C25">
        <v>0.93559999999999999</v>
      </c>
      <c r="D25">
        <v>0.94140000000000001</v>
      </c>
      <c r="E25">
        <v>1.056</v>
      </c>
      <c r="F25">
        <v>-0.12173358827278524</v>
      </c>
      <c r="G25">
        <v>-8.195051231314765E-2</v>
      </c>
    </row>
    <row r="26" spans="1:7" x14ac:dyDescent="0.3">
      <c r="A26">
        <v>44157</v>
      </c>
      <c r="B26">
        <v>1.075</v>
      </c>
      <c r="C26">
        <v>0.95179999999999998</v>
      </c>
      <c r="D26">
        <v>1.056</v>
      </c>
      <c r="E26">
        <v>1.0229999999999999</v>
      </c>
      <c r="F26">
        <v>3.1250000000000111E-2</v>
      </c>
      <c r="G26">
        <v>-1.4033245210589129E-2</v>
      </c>
    </row>
    <row r="27" spans="1:7" x14ac:dyDescent="0.3">
      <c r="A27">
        <v>44158</v>
      </c>
      <c r="B27">
        <v>1.1299999999999999</v>
      </c>
      <c r="C27">
        <v>0.98960000000000004</v>
      </c>
      <c r="D27">
        <v>1.0229999999999999</v>
      </c>
      <c r="E27">
        <v>1.109</v>
      </c>
      <c r="F27">
        <v>-8.4066471163245504E-2</v>
      </c>
      <c r="G27">
        <v>-8.7712719415724782E-2</v>
      </c>
    </row>
    <row r="28" spans="1:7" x14ac:dyDescent="0.3">
      <c r="A28">
        <v>44159</v>
      </c>
      <c r="B28">
        <v>1.1870000000000001</v>
      </c>
      <c r="C28">
        <v>1.0489999999999999</v>
      </c>
      <c r="D28">
        <v>1.109</v>
      </c>
      <c r="E28">
        <v>1.1339999999999999</v>
      </c>
      <c r="F28">
        <v>-2.2542831379621209E-2</v>
      </c>
      <c r="G28">
        <v>6.8129955838654999E-3</v>
      </c>
    </row>
    <row r="29" spans="1:7" x14ac:dyDescent="0.3">
      <c r="A29">
        <v>44160</v>
      </c>
      <c r="B29">
        <v>1.3560000000000001</v>
      </c>
      <c r="C29">
        <v>1.105</v>
      </c>
      <c r="D29">
        <v>1.1339999999999999</v>
      </c>
      <c r="E29">
        <v>1.157</v>
      </c>
      <c r="F29">
        <v>-2.0282186948853642E-2</v>
      </c>
      <c r="G29">
        <v>5.8811861549142197E-2</v>
      </c>
    </row>
    <row r="30" spans="1:7" x14ac:dyDescent="0.3">
      <c r="A30">
        <v>44161</v>
      </c>
      <c r="B30">
        <v>1.1970000000000001</v>
      </c>
      <c r="C30">
        <v>0.90139999999999998</v>
      </c>
      <c r="D30">
        <v>1.157</v>
      </c>
      <c r="E30">
        <v>0.98199999999999998</v>
      </c>
      <c r="F30">
        <v>0.15125324114088168</v>
      </c>
      <c r="G30">
        <v>8.6371619248331477E-2</v>
      </c>
    </row>
    <row r="31" spans="1:7" x14ac:dyDescent="0.3">
      <c r="A31">
        <v>44162</v>
      </c>
      <c r="B31">
        <v>1.012</v>
      </c>
      <c r="C31">
        <v>0.92420000000000002</v>
      </c>
      <c r="D31">
        <v>0.98199999999999998</v>
      </c>
      <c r="E31">
        <v>0.96419999999999995</v>
      </c>
      <c r="F31">
        <v>1.8126272912423635E-2</v>
      </c>
      <c r="G31">
        <v>2.671946484179788E-3</v>
      </c>
    </row>
    <row r="32" spans="1:7" x14ac:dyDescent="0.3">
      <c r="A32">
        <v>44163</v>
      </c>
      <c r="B32">
        <v>1.0449999999999999</v>
      </c>
      <c r="C32">
        <v>0.93610000000000004</v>
      </c>
      <c r="D32">
        <v>0.96419999999999995</v>
      </c>
      <c r="E32">
        <v>1.042</v>
      </c>
      <c r="F32">
        <v>-8.0688653806264332E-2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385B-439B-4A5D-96CA-1F5F25EF6799}">
  <sheetPr codeName="Sheet15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10.8</v>
      </c>
      <c r="C2">
        <v>10.36</v>
      </c>
      <c r="D2">
        <v>10.78</v>
      </c>
      <c r="E2">
        <v>10.39</v>
      </c>
      <c r="F2"/>
      <c r="G2"/>
    </row>
    <row r="3" spans="1:7" x14ac:dyDescent="0.3">
      <c r="A3">
        <v>44134</v>
      </c>
      <c r="B3">
        <v>10.28</v>
      </c>
      <c r="C3">
        <v>10.050000000000001</v>
      </c>
      <c r="D3">
        <v>10.39</v>
      </c>
      <c r="E3">
        <v>10.18</v>
      </c>
      <c r="F3">
        <v>2.0211742059672799E-2</v>
      </c>
      <c r="G3">
        <v>1.2334210662125256E-2</v>
      </c>
    </row>
    <row r="4" spans="1:7" x14ac:dyDescent="0.3">
      <c r="A4">
        <v>44135</v>
      </c>
      <c r="B4">
        <v>10.3</v>
      </c>
      <c r="C4">
        <v>9.9009999999999998</v>
      </c>
      <c r="D4">
        <v>10.18</v>
      </c>
      <c r="E4">
        <v>9.92</v>
      </c>
      <c r="F4">
        <v>2.5540275049115935E-2</v>
      </c>
      <c r="G4">
        <v>-1.0476538823283477E-2</v>
      </c>
    </row>
    <row r="5" spans="1:7" x14ac:dyDescent="0.3">
      <c r="A5">
        <v>44136</v>
      </c>
      <c r="B5">
        <v>10.220000000000001</v>
      </c>
      <c r="C5">
        <v>9.7460000000000004</v>
      </c>
      <c r="D5">
        <v>9.92</v>
      </c>
      <c r="E5">
        <v>9.9</v>
      </c>
      <c r="F5">
        <v>2.0161290322580072E-3</v>
      </c>
      <c r="G5">
        <v>-2.5803449078263707E-2</v>
      </c>
    </row>
    <row r="6" spans="1:7" x14ac:dyDescent="0.3">
      <c r="A6">
        <v>44137</v>
      </c>
      <c r="B6">
        <v>10.25</v>
      </c>
      <c r="C6">
        <v>9.0559999999999992</v>
      </c>
      <c r="D6">
        <v>9.8789999999999996</v>
      </c>
      <c r="E6">
        <v>9.125</v>
      </c>
      <c r="F6">
        <v>7.8282828282828287E-2</v>
      </c>
      <c r="G6">
        <v>3.3119092627599156E-2</v>
      </c>
    </row>
    <row r="7" spans="1:7" x14ac:dyDescent="0.3">
      <c r="A7">
        <v>44138</v>
      </c>
      <c r="B7">
        <v>9.4269999999999996</v>
      </c>
      <c r="C7">
        <v>8.6780000000000008</v>
      </c>
      <c r="D7">
        <v>9.125</v>
      </c>
      <c r="E7">
        <v>8.891</v>
      </c>
      <c r="F7">
        <v>2.5643835616438349E-2</v>
      </c>
      <c r="G7">
        <v>-1.191314095044449E-2</v>
      </c>
    </row>
    <row r="8" spans="1:7" x14ac:dyDescent="0.3">
      <c r="A8">
        <v>44139</v>
      </c>
      <c r="B8">
        <v>9.7479999999999993</v>
      </c>
      <c r="C8">
        <v>8.3659999999999997</v>
      </c>
      <c r="D8">
        <v>8.891</v>
      </c>
      <c r="E8">
        <v>8.7750000000000004</v>
      </c>
      <c r="F8">
        <v>1.3046901360926788E-2</v>
      </c>
      <c r="G8">
        <v>-3.730228244628786E-2</v>
      </c>
    </row>
    <row r="9" spans="1:7" x14ac:dyDescent="0.3">
      <c r="A9">
        <v>44140</v>
      </c>
      <c r="B9">
        <v>9.4410000000000007</v>
      </c>
      <c r="C9">
        <v>8.5969999999999995</v>
      </c>
      <c r="D9">
        <v>8.7750000000000004</v>
      </c>
      <c r="E9">
        <v>9.0280000000000005</v>
      </c>
      <c r="F9">
        <v>-2.8831908831908892E-2</v>
      </c>
      <c r="G9">
        <v>-3.5339989072666667E-2</v>
      </c>
    </row>
    <row r="10" spans="1:7" x14ac:dyDescent="0.3">
      <c r="A10">
        <v>44141</v>
      </c>
      <c r="B10">
        <v>10.119999999999999</v>
      </c>
      <c r="C10">
        <v>8.93</v>
      </c>
      <c r="D10">
        <v>9.0280000000000005</v>
      </c>
      <c r="E10">
        <v>10.01</v>
      </c>
      <c r="F10">
        <v>-0.10877270713336284</v>
      </c>
      <c r="G10">
        <v>-9.4581304420830348E-2</v>
      </c>
    </row>
    <row r="11" spans="1:7" x14ac:dyDescent="0.3">
      <c r="A11">
        <v>44142</v>
      </c>
      <c r="B11">
        <v>11.53</v>
      </c>
      <c r="C11">
        <v>9.5579999999999998</v>
      </c>
      <c r="D11">
        <v>10.01</v>
      </c>
      <c r="E11">
        <v>9.9169999999999998</v>
      </c>
      <c r="F11">
        <v>9.2907092907092981E-3</v>
      </c>
      <c r="G11">
        <v>4.4924614305750343E-2</v>
      </c>
    </row>
    <row r="12" spans="1:7" x14ac:dyDescent="0.3">
      <c r="A12">
        <v>44143</v>
      </c>
      <c r="B12">
        <v>10.49</v>
      </c>
      <c r="C12">
        <v>9.7569999999999997</v>
      </c>
      <c r="D12">
        <v>9.9169999999999998</v>
      </c>
      <c r="E12">
        <v>10.220000000000001</v>
      </c>
      <c r="F12">
        <v>-3.0553594837148479E-2</v>
      </c>
      <c r="G12">
        <v>-4.3412417970721817E-2</v>
      </c>
    </row>
    <row r="13" spans="1:7" x14ac:dyDescent="0.3">
      <c r="A13">
        <v>44144</v>
      </c>
      <c r="B13">
        <v>10.51</v>
      </c>
      <c r="C13">
        <v>9.84</v>
      </c>
      <c r="D13">
        <v>10.199999999999999</v>
      </c>
      <c r="E13">
        <v>10.36</v>
      </c>
      <c r="F13">
        <v>-1.3698630136986134E-2</v>
      </c>
      <c r="G13">
        <v>2.2628315081145267E-2</v>
      </c>
    </row>
    <row r="14" spans="1:7" x14ac:dyDescent="0.3">
      <c r="A14">
        <v>44145</v>
      </c>
      <c r="B14">
        <v>12.46</v>
      </c>
      <c r="C14">
        <v>10.27</v>
      </c>
      <c r="D14">
        <v>10.36</v>
      </c>
      <c r="E14">
        <v>12.1</v>
      </c>
      <c r="F14">
        <v>-0.16795366795366795</v>
      </c>
      <c r="G14">
        <v>-1.4422319721003607E-2</v>
      </c>
    </row>
    <row r="15" spans="1:7" x14ac:dyDescent="0.3">
      <c r="A15">
        <v>44146</v>
      </c>
      <c r="B15">
        <v>12.6</v>
      </c>
      <c r="C15">
        <v>11.27</v>
      </c>
      <c r="D15">
        <v>12.11</v>
      </c>
      <c r="E15">
        <v>11.65</v>
      </c>
      <c r="F15">
        <v>3.7190082644628086E-2</v>
      </c>
      <c r="G15">
        <v>-2.8944683493767442E-2</v>
      </c>
    </row>
    <row r="16" spans="1:7" x14ac:dyDescent="0.3">
      <c r="A16">
        <v>44147</v>
      </c>
      <c r="B16">
        <v>12.17</v>
      </c>
      <c r="C16">
        <v>11.11</v>
      </c>
      <c r="D16">
        <v>11.68</v>
      </c>
      <c r="E16">
        <v>11.53</v>
      </c>
      <c r="F16">
        <v>1.0300429184549431E-2</v>
      </c>
      <c r="G16">
        <v>2.4358172921472576E-3</v>
      </c>
    </row>
    <row r="17" spans="1:7" x14ac:dyDescent="0.3">
      <c r="A17">
        <v>44148</v>
      </c>
      <c r="B17">
        <v>13.53</v>
      </c>
      <c r="C17">
        <v>11.46</v>
      </c>
      <c r="D17">
        <v>11.58</v>
      </c>
      <c r="E17">
        <v>13.36</v>
      </c>
      <c r="F17">
        <v>-0.15871639202081522</v>
      </c>
      <c r="G17">
        <v>-3.0446432430096371E-2</v>
      </c>
    </row>
    <row r="18" spans="1:7" x14ac:dyDescent="0.3">
      <c r="A18">
        <v>44149</v>
      </c>
      <c r="B18">
        <v>13.76</v>
      </c>
      <c r="C18">
        <v>12.13</v>
      </c>
      <c r="D18">
        <v>13.38</v>
      </c>
      <c r="E18">
        <v>12.98</v>
      </c>
      <c r="F18">
        <v>2.8443113772455009E-2</v>
      </c>
      <c r="G18">
        <v>3.3216599911925715E-2</v>
      </c>
    </row>
    <row r="19" spans="1:7" x14ac:dyDescent="0.3">
      <c r="A19">
        <v>44150</v>
      </c>
      <c r="B19">
        <v>13.75</v>
      </c>
      <c r="C19">
        <v>12.17</v>
      </c>
      <c r="D19">
        <v>12.98</v>
      </c>
      <c r="E19">
        <v>12.62</v>
      </c>
      <c r="F19">
        <v>2.7734976887519358E-2</v>
      </c>
      <c r="G19">
        <v>2.7156584170227482E-2</v>
      </c>
    </row>
    <row r="20" spans="1:7" x14ac:dyDescent="0.3">
      <c r="A20">
        <v>44151</v>
      </c>
      <c r="B20">
        <v>13.55</v>
      </c>
      <c r="C20">
        <v>12.81</v>
      </c>
      <c r="D20">
        <v>12.59</v>
      </c>
      <c r="E20">
        <v>13.03</v>
      </c>
      <c r="F20">
        <v>-3.2488114104595844E-2</v>
      </c>
      <c r="G20">
        <v>-2.7870058638603368E-2</v>
      </c>
    </row>
    <row r="21" spans="1:7" x14ac:dyDescent="0.3">
      <c r="A21">
        <v>44152</v>
      </c>
      <c r="B21">
        <v>13.74</v>
      </c>
      <c r="C21">
        <v>13.23</v>
      </c>
      <c r="D21">
        <v>12.87</v>
      </c>
      <c r="E21">
        <v>13.69</v>
      </c>
      <c r="F21">
        <v>-5.0652340752110447E-2</v>
      </c>
      <c r="G21">
        <v>-4.7070562460684195E-2</v>
      </c>
    </row>
    <row r="22" spans="1:7" x14ac:dyDescent="0.3">
      <c r="A22">
        <v>44153</v>
      </c>
      <c r="B22">
        <v>13.59</v>
      </c>
      <c r="C22">
        <v>13.01</v>
      </c>
      <c r="D22">
        <v>13.69</v>
      </c>
      <c r="E22">
        <v>13.32</v>
      </c>
      <c r="F22">
        <v>2.7027027027026973E-2</v>
      </c>
      <c r="G22">
        <v>8.1829669988191522E-3</v>
      </c>
    </row>
    <row r="23" spans="1:7" x14ac:dyDescent="0.3">
      <c r="A23">
        <v>44154</v>
      </c>
      <c r="B23">
        <v>13.18</v>
      </c>
      <c r="C23">
        <v>12.46</v>
      </c>
      <c r="D23">
        <v>13.32</v>
      </c>
      <c r="E23">
        <v>13.18</v>
      </c>
      <c r="F23">
        <v>1.0510510510510551E-2</v>
      </c>
      <c r="G23">
        <v>1.4495780766981325E-2</v>
      </c>
    </row>
    <row r="24" spans="1:7" x14ac:dyDescent="0.3">
      <c r="A24">
        <v>44155</v>
      </c>
      <c r="B24">
        <v>18.89</v>
      </c>
      <c r="C24">
        <v>13.24</v>
      </c>
      <c r="D24">
        <v>13.29</v>
      </c>
      <c r="E24">
        <v>15.63</v>
      </c>
      <c r="F24">
        <v>-0.18588770864946902</v>
      </c>
      <c r="G24">
        <v>-8.1832054597092085E-2</v>
      </c>
    </row>
    <row r="25" spans="1:7" x14ac:dyDescent="0.3">
      <c r="A25">
        <v>44156</v>
      </c>
      <c r="B25">
        <v>17.18</v>
      </c>
      <c r="C25">
        <v>15.22</v>
      </c>
      <c r="D25">
        <v>15.63</v>
      </c>
      <c r="E25">
        <v>16.14</v>
      </c>
      <c r="F25">
        <v>-3.2629558541266812E-2</v>
      </c>
      <c r="G25">
        <v>-8.195051231314765E-2</v>
      </c>
    </row>
    <row r="26" spans="1:7" x14ac:dyDescent="0.3">
      <c r="A26">
        <v>44157</v>
      </c>
      <c r="B26">
        <v>18.489999999999998</v>
      </c>
      <c r="C26">
        <v>15.29</v>
      </c>
      <c r="D26">
        <v>16.14</v>
      </c>
      <c r="E26">
        <v>16.88</v>
      </c>
      <c r="F26">
        <v>-4.5848822800495626E-2</v>
      </c>
      <c r="G26">
        <v>-1.4033245210589129E-2</v>
      </c>
    </row>
    <row r="27" spans="1:7" x14ac:dyDescent="0.3">
      <c r="A27">
        <v>44158</v>
      </c>
      <c r="B27">
        <v>18.350000000000001</v>
      </c>
      <c r="C27">
        <v>17.059999999999999</v>
      </c>
      <c r="D27">
        <v>16.850000000000001</v>
      </c>
      <c r="E27">
        <v>17.239999999999998</v>
      </c>
      <c r="F27">
        <v>-2.1327014218009532E-2</v>
      </c>
      <c r="G27">
        <v>-8.7712719415724782E-2</v>
      </c>
    </row>
    <row r="28" spans="1:7" x14ac:dyDescent="0.3">
      <c r="A28">
        <v>44159</v>
      </c>
      <c r="B28">
        <v>17.760000000000002</v>
      </c>
      <c r="C28">
        <v>15.72</v>
      </c>
      <c r="D28">
        <v>17.239999999999998</v>
      </c>
      <c r="E28">
        <v>16.010000000000002</v>
      </c>
      <c r="F28">
        <v>7.1345707656612301E-2</v>
      </c>
      <c r="G28">
        <v>6.8129955838654999E-3</v>
      </c>
    </row>
    <row r="29" spans="1:7" x14ac:dyDescent="0.3">
      <c r="A29">
        <v>44160</v>
      </c>
      <c r="B29">
        <v>16.48</v>
      </c>
      <c r="C29">
        <v>14.18</v>
      </c>
      <c r="D29">
        <v>16.010000000000002</v>
      </c>
      <c r="E29">
        <v>14.9</v>
      </c>
      <c r="F29">
        <v>6.9331667707682731E-2</v>
      </c>
      <c r="G29">
        <v>5.8811861549142197E-2</v>
      </c>
    </row>
    <row r="30" spans="1:7" x14ac:dyDescent="0.3">
      <c r="A30">
        <v>44161</v>
      </c>
      <c r="B30">
        <v>14.93</v>
      </c>
      <c r="C30">
        <v>13.13</v>
      </c>
      <c r="D30">
        <v>14.89</v>
      </c>
      <c r="E30">
        <v>14.5</v>
      </c>
      <c r="F30">
        <v>2.684563758389269E-2</v>
      </c>
      <c r="G30">
        <v>8.6371619248331477E-2</v>
      </c>
    </row>
    <row r="31" spans="1:7" x14ac:dyDescent="0.3">
      <c r="A31">
        <v>44162</v>
      </c>
      <c r="B31">
        <v>14.65</v>
      </c>
      <c r="C31">
        <v>13.14</v>
      </c>
      <c r="D31">
        <v>14.5</v>
      </c>
      <c r="E31">
        <v>13.38</v>
      </c>
      <c r="F31">
        <v>7.7241379310344804E-2</v>
      </c>
      <c r="G31">
        <v>2.671946484179788E-3</v>
      </c>
    </row>
    <row r="32" spans="1:7" x14ac:dyDescent="0.3">
      <c r="A32">
        <v>44163</v>
      </c>
      <c r="B32">
        <v>13.82</v>
      </c>
      <c r="C32">
        <v>12.6</v>
      </c>
      <c r="D32">
        <v>13.2</v>
      </c>
      <c r="E32">
        <v>13.49</v>
      </c>
      <c r="F32">
        <v>-8.2212257100149344E-3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A8AE4-7A1C-4EA2-9F6E-A369EAC7B18F}">
  <sheetPr codeName="Sheet16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13.64</v>
      </c>
      <c r="C2">
        <v>12.61</v>
      </c>
      <c r="D2">
        <v>12.68</v>
      </c>
      <c r="E2">
        <v>12.71</v>
      </c>
      <c r="F2"/>
      <c r="G2"/>
    </row>
    <row r="3" spans="1:7" x14ac:dyDescent="0.3">
      <c r="A3">
        <v>44134</v>
      </c>
      <c r="B3">
        <v>12.85</v>
      </c>
      <c r="C3">
        <v>12.36</v>
      </c>
      <c r="D3">
        <v>12.71</v>
      </c>
      <c r="E3">
        <v>12.54</v>
      </c>
      <c r="F3">
        <v>1.3375295043273172E-2</v>
      </c>
      <c r="G3">
        <v>1.2334210662125256E-2</v>
      </c>
    </row>
    <row r="4" spans="1:7" x14ac:dyDescent="0.3">
      <c r="A4">
        <v>44135</v>
      </c>
      <c r="B4">
        <v>12.88</v>
      </c>
      <c r="C4">
        <v>12.38</v>
      </c>
      <c r="D4">
        <v>12.54</v>
      </c>
      <c r="E4">
        <v>12.61</v>
      </c>
      <c r="F4">
        <v>-5.5821371610844661E-3</v>
      </c>
      <c r="G4">
        <v>-1.0476538823283477E-2</v>
      </c>
    </row>
    <row r="5" spans="1:7" x14ac:dyDescent="0.3">
      <c r="A5">
        <v>44136</v>
      </c>
      <c r="B5">
        <v>13.15</v>
      </c>
      <c r="C5">
        <v>12.51</v>
      </c>
      <c r="D5">
        <v>12.61</v>
      </c>
      <c r="E5">
        <v>12.93</v>
      </c>
      <c r="F5">
        <v>-2.5376685170499735E-2</v>
      </c>
      <c r="G5">
        <v>-2.5803449078263707E-2</v>
      </c>
    </row>
    <row r="6" spans="1:7" x14ac:dyDescent="0.3">
      <c r="A6">
        <v>44137</v>
      </c>
      <c r="B6">
        <v>13.98</v>
      </c>
      <c r="C6">
        <v>12.55</v>
      </c>
      <c r="D6">
        <v>12.93</v>
      </c>
      <c r="E6">
        <v>12.84</v>
      </c>
      <c r="F6">
        <v>6.9605568445475496E-3</v>
      </c>
      <c r="G6">
        <v>3.3119092627599156E-2</v>
      </c>
    </row>
    <row r="7" spans="1:7" x14ac:dyDescent="0.3">
      <c r="A7">
        <v>44138</v>
      </c>
      <c r="B7">
        <v>16.760000000000002</v>
      </c>
      <c r="C7">
        <v>13.32</v>
      </c>
      <c r="D7">
        <v>14.47</v>
      </c>
      <c r="E7">
        <v>14.3</v>
      </c>
      <c r="F7">
        <v>-0.11370716510903423</v>
      </c>
      <c r="G7">
        <v>-1.191314095044449E-2</v>
      </c>
    </row>
    <row r="8" spans="1:7" x14ac:dyDescent="0.3">
      <c r="A8">
        <v>44139</v>
      </c>
      <c r="B8">
        <v>15.59</v>
      </c>
      <c r="C8">
        <v>14.11</v>
      </c>
      <c r="D8">
        <v>14.3</v>
      </c>
      <c r="E8">
        <v>14.49</v>
      </c>
      <c r="F8">
        <v>-1.3286713286713159E-2</v>
      </c>
      <c r="G8">
        <v>-3.730228244628786E-2</v>
      </c>
    </row>
    <row r="9" spans="1:7" x14ac:dyDescent="0.3">
      <c r="A9">
        <v>44140</v>
      </c>
      <c r="B9">
        <v>15.65</v>
      </c>
      <c r="C9">
        <v>13.42</v>
      </c>
      <c r="D9">
        <v>14.2</v>
      </c>
      <c r="E9">
        <v>13.48</v>
      </c>
      <c r="F9">
        <v>6.9703243616287103E-2</v>
      </c>
      <c r="G9">
        <v>-3.5339989072666667E-2</v>
      </c>
    </row>
    <row r="10" spans="1:7" x14ac:dyDescent="0.3">
      <c r="A10">
        <v>44141</v>
      </c>
      <c r="B10">
        <v>14.12</v>
      </c>
      <c r="C10">
        <v>13.37</v>
      </c>
      <c r="D10">
        <v>13.48</v>
      </c>
      <c r="E10">
        <v>13.85</v>
      </c>
      <c r="F10">
        <v>-2.7448071216617187E-2</v>
      </c>
      <c r="G10">
        <v>-9.4581304420830348E-2</v>
      </c>
    </row>
    <row r="11" spans="1:7" x14ac:dyDescent="0.3">
      <c r="A11">
        <v>44142</v>
      </c>
      <c r="B11">
        <v>13.65</v>
      </c>
      <c r="C11">
        <v>13.08</v>
      </c>
      <c r="D11">
        <v>13.85</v>
      </c>
      <c r="E11">
        <v>13.31</v>
      </c>
      <c r="F11">
        <v>3.8989169675090141E-2</v>
      </c>
      <c r="G11">
        <v>4.4924614305750343E-2</v>
      </c>
    </row>
    <row r="12" spans="1:7" x14ac:dyDescent="0.3">
      <c r="A12">
        <v>44143</v>
      </c>
      <c r="B12">
        <v>13.9</v>
      </c>
      <c r="C12">
        <v>13.58</v>
      </c>
      <c r="D12">
        <v>13.31</v>
      </c>
      <c r="E12">
        <v>13.66</v>
      </c>
      <c r="F12">
        <v>-2.6296018031555235E-2</v>
      </c>
      <c r="G12">
        <v>-4.3412417970721817E-2</v>
      </c>
    </row>
    <row r="13" spans="1:7" x14ac:dyDescent="0.3">
      <c r="A13">
        <v>44144</v>
      </c>
      <c r="B13">
        <v>16.71</v>
      </c>
      <c r="C13">
        <v>13.44</v>
      </c>
      <c r="D13">
        <v>13.89</v>
      </c>
      <c r="E13">
        <v>15.47</v>
      </c>
      <c r="F13">
        <v>-0.13250366032210836</v>
      </c>
      <c r="G13">
        <v>2.2628315081145267E-2</v>
      </c>
    </row>
    <row r="14" spans="1:7" x14ac:dyDescent="0.3">
      <c r="A14">
        <v>44145</v>
      </c>
      <c r="B14">
        <v>16.989999999999998</v>
      </c>
      <c r="C14">
        <v>14.49</v>
      </c>
      <c r="D14">
        <v>15.47</v>
      </c>
      <c r="E14">
        <v>15.64</v>
      </c>
      <c r="F14">
        <v>-1.098901098901095E-2</v>
      </c>
      <c r="G14">
        <v>-1.4422319721003607E-2</v>
      </c>
    </row>
    <row r="15" spans="1:7" x14ac:dyDescent="0.3">
      <c r="A15">
        <v>44146</v>
      </c>
      <c r="B15">
        <v>15</v>
      </c>
      <c r="C15">
        <v>14.27</v>
      </c>
      <c r="D15">
        <v>14.17</v>
      </c>
      <c r="E15">
        <v>14.98</v>
      </c>
      <c r="F15">
        <v>4.2199488491048598E-2</v>
      </c>
      <c r="G15">
        <v>-2.8944683493767442E-2</v>
      </c>
    </row>
    <row r="16" spans="1:7" x14ac:dyDescent="0.3">
      <c r="A16">
        <v>44147</v>
      </c>
      <c r="B16">
        <v>16.89</v>
      </c>
      <c r="C16">
        <v>14.85</v>
      </c>
      <c r="D16">
        <v>16.420000000000002</v>
      </c>
      <c r="E16">
        <v>14.94</v>
      </c>
      <c r="F16">
        <v>2.6702269692924219E-3</v>
      </c>
      <c r="G16">
        <v>2.4358172921472576E-3</v>
      </c>
    </row>
    <row r="17" spans="1:7" x14ac:dyDescent="0.3">
      <c r="A17">
        <v>44148</v>
      </c>
      <c r="B17">
        <v>15.89</v>
      </c>
      <c r="C17">
        <v>14.54</v>
      </c>
      <c r="D17">
        <v>14.94</v>
      </c>
      <c r="E17">
        <v>15.19</v>
      </c>
      <c r="F17">
        <v>-1.6733601070950455E-2</v>
      </c>
      <c r="G17">
        <v>-3.0446432430096371E-2</v>
      </c>
    </row>
    <row r="18" spans="1:7" x14ac:dyDescent="0.3">
      <c r="A18">
        <v>44149</v>
      </c>
      <c r="B18">
        <v>16.399999999999999</v>
      </c>
      <c r="C18">
        <v>14.78</v>
      </c>
      <c r="D18">
        <v>15.19</v>
      </c>
      <c r="E18">
        <v>15.94</v>
      </c>
      <c r="F18">
        <v>-4.9374588545095355E-2</v>
      </c>
      <c r="G18">
        <v>3.3216599911925715E-2</v>
      </c>
    </row>
    <row r="19" spans="1:7" x14ac:dyDescent="0.3">
      <c r="A19">
        <v>44150</v>
      </c>
      <c r="B19">
        <v>16.54</v>
      </c>
      <c r="C19">
        <v>15.53</v>
      </c>
      <c r="D19">
        <v>15.94</v>
      </c>
      <c r="E19">
        <v>15.77</v>
      </c>
      <c r="F19">
        <v>1.0664993726474226E-2</v>
      </c>
      <c r="G19">
        <v>2.7156584170227482E-2</v>
      </c>
    </row>
    <row r="20" spans="1:7" x14ac:dyDescent="0.3">
      <c r="A20">
        <v>44151</v>
      </c>
      <c r="B20">
        <v>17.47</v>
      </c>
      <c r="C20">
        <v>15.69</v>
      </c>
      <c r="D20">
        <v>15.77</v>
      </c>
      <c r="E20">
        <v>17.28</v>
      </c>
      <c r="F20">
        <v>-9.5751426759670411E-2</v>
      </c>
      <c r="G20">
        <v>-2.7870058638603368E-2</v>
      </c>
    </row>
    <row r="21" spans="1:7" x14ac:dyDescent="0.3">
      <c r="A21">
        <v>44152</v>
      </c>
      <c r="B21">
        <v>17.39</v>
      </c>
      <c r="C21">
        <v>15.9</v>
      </c>
      <c r="D21">
        <v>17.28</v>
      </c>
      <c r="E21">
        <v>16.57</v>
      </c>
      <c r="F21">
        <v>4.1087962962963021E-2</v>
      </c>
      <c r="G21">
        <v>-4.7070562460684195E-2</v>
      </c>
    </row>
    <row r="22" spans="1:7" x14ac:dyDescent="0.3">
      <c r="A22">
        <v>44153</v>
      </c>
      <c r="B22">
        <v>15.79</v>
      </c>
      <c r="C22">
        <v>14.71</v>
      </c>
      <c r="D22">
        <v>15.6</v>
      </c>
      <c r="E22">
        <v>15.34</v>
      </c>
      <c r="F22">
        <v>7.4230537115268613E-2</v>
      </c>
      <c r="G22">
        <v>8.1829669988191522E-3</v>
      </c>
    </row>
    <row r="23" spans="1:7" x14ac:dyDescent="0.3">
      <c r="A23">
        <v>44154</v>
      </c>
      <c r="B23">
        <v>15.5</v>
      </c>
      <c r="C23">
        <v>14.73</v>
      </c>
      <c r="D23">
        <v>15.34</v>
      </c>
      <c r="E23">
        <v>14.94</v>
      </c>
      <c r="F23">
        <v>2.6075619295958252E-2</v>
      </c>
      <c r="G23">
        <v>1.4495780766981325E-2</v>
      </c>
    </row>
    <row r="24" spans="1:7" x14ac:dyDescent="0.3">
      <c r="A24">
        <v>44155</v>
      </c>
      <c r="B24">
        <v>16.059999999999999</v>
      </c>
      <c r="C24">
        <v>15.36</v>
      </c>
      <c r="D24">
        <v>14.94</v>
      </c>
      <c r="E24">
        <v>15.59</v>
      </c>
      <c r="F24">
        <v>-4.3507362784471315E-2</v>
      </c>
      <c r="G24">
        <v>-8.1832054597092085E-2</v>
      </c>
    </row>
    <row r="25" spans="1:7" x14ac:dyDescent="0.3">
      <c r="A25">
        <v>44156</v>
      </c>
      <c r="B25">
        <v>16.87</v>
      </c>
      <c r="C25">
        <v>15.47</v>
      </c>
      <c r="D25">
        <v>16.03</v>
      </c>
      <c r="E25">
        <v>16.62</v>
      </c>
      <c r="F25">
        <v>-6.6067992302758283E-2</v>
      </c>
      <c r="G25">
        <v>-8.195051231314765E-2</v>
      </c>
    </row>
    <row r="26" spans="1:7" x14ac:dyDescent="0.3">
      <c r="A26">
        <v>44157</v>
      </c>
      <c r="B26">
        <v>16.93</v>
      </c>
      <c r="C26">
        <v>15.89</v>
      </c>
      <c r="D26">
        <v>16.62</v>
      </c>
      <c r="E26">
        <v>16.2</v>
      </c>
      <c r="F26">
        <v>2.5270758122743819E-2</v>
      </c>
      <c r="G26">
        <v>-1.4033245210589129E-2</v>
      </c>
    </row>
    <row r="27" spans="1:7" x14ac:dyDescent="0.3">
      <c r="A27">
        <v>44158</v>
      </c>
      <c r="B27">
        <v>16.97</v>
      </c>
      <c r="C27">
        <v>16.100000000000001</v>
      </c>
      <c r="D27">
        <v>16.2</v>
      </c>
      <c r="E27">
        <v>16.77</v>
      </c>
      <c r="F27">
        <v>-3.5185185185185208E-2</v>
      </c>
      <c r="G27">
        <v>-8.7712719415724782E-2</v>
      </c>
    </row>
    <row r="28" spans="1:7" x14ac:dyDescent="0.3">
      <c r="A28">
        <v>44159</v>
      </c>
      <c r="B28">
        <v>17.98</v>
      </c>
      <c r="C28">
        <v>16.739999999999998</v>
      </c>
      <c r="D28">
        <v>16.77</v>
      </c>
      <c r="E28">
        <v>17.75</v>
      </c>
      <c r="F28">
        <v>-5.8437686344663176E-2</v>
      </c>
      <c r="G28">
        <v>6.8129955838654999E-3</v>
      </c>
    </row>
    <row r="29" spans="1:7" x14ac:dyDescent="0.3">
      <c r="A29">
        <v>44160</v>
      </c>
      <c r="B29">
        <v>17.329999999999998</v>
      </c>
      <c r="C29">
        <v>16.18</v>
      </c>
      <c r="D29">
        <v>17.420000000000002</v>
      </c>
      <c r="E29">
        <v>16.34</v>
      </c>
      <c r="F29">
        <v>7.9436619718309842E-2</v>
      </c>
      <c r="G29">
        <v>5.8811861549142197E-2</v>
      </c>
    </row>
    <row r="30" spans="1:7" x14ac:dyDescent="0.3">
      <c r="A30">
        <v>44161</v>
      </c>
      <c r="B30">
        <v>16.78</v>
      </c>
      <c r="C30">
        <v>13.76</v>
      </c>
      <c r="D30">
        <v>16.260000000000002</v>
      </c>
      <c r="E30">
        <v>14.8</v>
      </c>
      <c r="F30">
        <v>9.4247246022031828E-2</v>
      </c>
      <c r="G30">
        <v>8.6371619248331477E-2</v>
      </c>
    </row>
    <row r="31" spans="1:7" x14ac:dyDescent="0.3">
      <c r="A31">
        <v>44162</v>
      </c>
      <c r="B31">
        <v>15.06</v>
      </c>
      <c r="C31">
        <v>14.64</v>
      </c>
      <c r="D31">
        <v>14.71</v>
      </c>
      <c r="E31">
        <v>14.74</v>
      </c>
      <c r="F31">
        <v>4.0540540540541237E-3</v>
      </c>
      <c r="G31">
        <v>2.671946484179788E-3</v>
      </c>
    </row>
    <row r="32" spans="1:7" x14ac:dyDescent="0.3">
      <c r="A32">
        <v>44163</v>
      </c>
      <c r="B32">
        <v>16.09</v>
      </c>
      <c r="C32">
        <v>14.75</v>
      </c>
      <c r="D32">
        <v>14.97</v>
      </c>
      <c r="E32">
        <v>15.5</v>
      </c>
      <c r="F32">
        <v>-5.1560379918588861E-2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05879-DA8C-4F0D-AE58-A5778D7BB53A}">
  <sheetPr codeName="Sheet17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11.8</v>
      </c>
      <c r="C2">
        <v>11.11</v>
      </c>
      <c r="D2">
        <v>11.46</v>
      </c>
      <c r="E2">
        <v>11.29</v>
      </c>
      <c r="F2"/>
      <c r="G2"/>
    </row>
    <row r="3" spans="1:7" x14ac:dyDescent="0.3">
      <c r="A3">
        <v>44134</v>
      </c>
      <c r="B3">
        <v>11.48</v>
      </c>
      <c r="C3">
        <v>10.77</v>
      </c>
      <c r="D3">
        <v>11.29</v>
      </c>
      <c r="E3">
        <v>11.09</v>
      </c>
      <c r="F3">
        <v>1.7714791851195733E-2</v>
      </c>
      <c r="G3">
        <v>1.2334210662125256E-2</v>
      </c>
    </row>
    <row r="4" spans="1:7" x14ac:dyDescent="0.3">
      <c r="A4">
        <v>44135</v>
      </c>
      <c r="B4">
        <v>11.39</v>
      </c>
      <c r="C4">
        <v>10.91</v>
      </c>
      <c r="D4">
        <v>11.09</v>
      </c>
      <c r="E4">
        <v>11.25</v>
      </c>
      <c r="F4">
        <v>-1.4427412082957725E-2</v>
      </c>
      <c r="G4">
        <v>-1.0476538823283477E-2</v>
      </c>
    </row>
    <row r="5" spans="1:7" x14ac:dyDescent="0.3">
      <c r="A5">
        <v>44136</v>
      </c>
      <c r="B5">
        <v>11.59</v>
      </c>
      <c r="C5">
        <v>11.04</v>
      </c>
      <c r="D5">
        <v>11.25</v>
      </c>
      <c r="E5">
        <v>11.57</v>
      </c>
      <c r="F5">
        <v>-2.8444444444444494E-2</v>
      </c>
      <c r="G5">
        <v>-2.5803449078263707E-2</v>
      </c>
    </row>
    <row r="6" spans="1:7" x14ac:dyDescent="0.3">
      <c r="A6">
        <v>44137</v>
      </c>
      <c r="B6">
        <v>11.69</v>
      </c>
      <c r="C6">
        <v>10.72</v>
      </c>
      <c r="D6">
        <v>11.57</v>
      </c>
      <c r="E6">
        <v>10.79</v>
      </c>
      <c r="F6">
        <v>6.7415730337078705E-2</v>
      </c>
      <c r="G6">
        <v>3.3119092627599156E-2</v>
      </c>
    </row>
    <row r="7" spans="1:7" x14ac:dyDescent="0.3">
      <c r="A7">
        <v>44138</v>
      </c>
      <c r="B7">
        <v>10.79</v>
      </c>
      <c r="C7">
        <v>10.08</v>
      </c>
      <c r="D7">
        <v>10.79</v>
      </c>
      <c r="E7">
        <v>10.39</v>
      </c>
      <c r="F7">
        <v>3.7071362372567029E-2</v>
      </c>
      <c r="G7">
        <v>-1.191314095044449E-2</v>
      </c>
    </row>
    <row r="8" spans="1:7" x14ac:dyDescent="0.3">
      <c r="A8">
        <v>44139</v>
      </c>
      <c r="B8">
        <v>10.68</v>
      </c>
      <c r="C8">
        <v>9.7650000000000006</v>
      </c>
      <c r="D8">
        <v>10.39</v>
      </c>
      <c r="E8">
        <v>10.47</v>
      </c>
      <c r="F8">
        <v>-7.6997112608276908E-3</v>
      </c>
      <c r="G8">
        <v>-3.730228244628786E-2</v>
      </c>
    </row>
    <row r="9" spans="1:7" x14ac:dyDescent="0.3">
      <c r="A9">
        <v>44140</v>
      </c>
      <c r="B9">
        <v>11.29</v>
      </c>
      <c r="C9">
        <v>10.1</v>
      </c>
      <c r="D9">
        <v>10.47</v>
      </c>
      <c r="E9">
        <v>11.01</v>
      </c>
      <c r="F9">
        <v>-5.1575931232091587E-2</v>
      </c>
      <c r="G9">
        <v>-3.5339989072666667E-2</v>
      </c>
    </row>
    <row r="10" spans="1:7" x14ac:dyDescent="0.3">
      <c r="A10">
        <v>44141</v>
      </c>
      <c r="B10">
        <v>12.3</v>
      </c>
      <c r="C10">
        <v>10.95</v>
      </c>
      <c r="D10">
        <v>11.01</v>
      </c>
      <c r="E10">
        <v>12.18</v>
      </c>
      <c r="F10">
        <v>-0.10626702997275195</v>
      </c>
      <c r="G10">
        <v>-9.4581304420830348E-2</v>
      </c>
    </row>
    <row r="11" spans="1:7" x14ac:dyDescent="0.3">
      <c r="A11">
        <v>44142</v>
      </c>
      <c r="B11">
        <v>13.58</v>
      </c>
      <c r="C11">
        <v>11.51</v>
      </c>
      <c r="D11">
        <v>12.18</v>
      </c>
      <c r="E11">
        <v>11.76</v>
      </c>
      <c r="F11">
        <v>3.4482758620689613E-2</v>
      </c>
      <c r="G11">
        <v>4.4924614305750343E-2</v>
      </c>
    </row>
    <row r="12" spans="1:7" x14ac:dyDescent="0.3">
      <c r="A12">
        <v>44143</v>
      </c>
      <c r="B12">
        <v>13.1</v>
      </c>
      <c r="C12">
        <v>11.51</v>
      </c>
      <c r="D12">
        <v>11.76</v>
      </c>
      <c r="E12">
        <v>12.72</v>
      </c>
      <c r="F12">
        <v>-8.163265306122458E-2</v>
      </c>
      <c r="G12">
        <v>-4.3412417970721817E-2</v>
      </c>
    </row>
    <row r="13" spans="1:7" x14ac:dyDescent="0.3">
      <c r="A13">
        <v>44144</v>
      </c>
      <c r="B13">
        <v>12.98</v>
      </c>
      <c r="C13">
        <v>12.08</v>
      </c>
      <c r="D13">
        <v>12.72</v>
      </c>
      <c r="E13">
        <v>12.52</v>
      </c>
      <c r="F13">
        <v>1.572327044025168E-2</v>
      </c>
      <c r="G13">
        <v>2.2628315081145267E-2</v>
      </c>
    </row>
    <row r="14" spans="1:7" x14ac:dyDescent="0.3">
      <c r="A14">
        <v>44145</v>
      </c>
      <c r="B14">
        <v>13.29</v>
      </c>
      <c r="C14">
        <v>12.33</v>
      </c>
      <c r="D14">
        <v>12.52</v>
      </c>
      <c r="E14">
        <v>13.02</v>
      </c>
      <c r="F14">
        <v>-3.9936102236421744E-2</v>
      </c>
      <c r="G14">
        <v>-1.4422319721003607E-2</v>
      </c>
    </row>
    <row r="15" spans="1:7" x14ac:dyDescent="0.3">
      <c r="A15">
        <v>44146</v>
      </c>
      <c r="B15">
        <v>13.44</v>
      </c>
      <c r="C15">
        <v>12.76</v>
      </c>
      <c r="D15">
        <v>13.02</v>
      </c>
      <c r="E15">
        <v>12.78</v>
      </c>
      <c r="F15">
        <v>1.8433179723502335E-2</v>
      </c>
      <c r="G15">
        <v>-2.8944683493767442E-2</v>
      </c>
    </row>
    <row r="16" spans="1:7" x14ac:dyDescent="0.3">
      <c r="A16">
        <v>44147</v>
      </c>
      <c r="B16">
        <v>13.1</v>
      </c>
      <c r="C16">
        <v>12.27</v>
      </c>
      <c r="D16">
        <v>12.78</v>
      </c>
      <c r="E16">
        <v>12.42</v>
      </c>
      <c r="F16">
        <v>2.8169014084507005E-2</v>
      </c>
      <c r="G16">
        <v>2.4358172921472576E-3</v>
      </c>
    </row>
    <row r="17" spans="1:7" x14ac:dyDescent="0.3">
      <c r="A17">
        <v>44148</v>
      </c>
      <c r="B17">
        <v>13.03</v>
      </c>
      <c r="C17">
        <v>12.33</v>
      </c>
      <c r="D17">
        <v>12.42</v>
      </c>
      <c r="E17">
        <v>12.89</v>
      </c>
      <c r="F17">
        <v>-3.7842190016103006E-2</v>
      </c>
      <c r="G17">
        <v>-3.0446432430096371E-2</v>
      </c>
    </row>
    <row r="18" spans="1:7" x14ac:dyDescent="0.3">
      <c r="A18">
        <v>44149</v>
      </c>
      <c r="B18">
        <v>12.94</v>
      </c>
      <c r="C18">
        <v>12.35</v>
      </c>
      <c r="D18">
        <v>12.89</v>
      </c>
      <c r="E18">
        <v>12.56</v>
      </c>
      <c r="F18">
        <v>2.560124127230412E-2</v>
      </c>
      <c r="G18">
        <v>3.3216599911925715E-2</v>
      </c>
    </row>
    <row r="19" spans="1:7" x14ac:dyDescent="0.3">
      <c r="A19">
        <v>44150</v>
      </c>
      <c r="B19">
        <v>12.65</v>
      </c>
      <c r="C19">
        <v>11.83</v>
      </c>
      <c r="D19">
        <v>12.56</v>
      </c>
      <c r="E19">
        <v>12.13</v>
      </c>
      <c r="F19">
        <v>3.4235668789808882E-2</v>
      </c>
      <c r="G19">
        <v>2.7156584170227482E-2</v>
      </c>
    </row>
    <row r="20" spans="1:7" x14ac:dyDescent="0.3">
      <c r="A20">
        <v>44151</v>
      </c>
      <c r="B20">
        <v>12.81</v>
      </c>
      <c r="C20">
        <v>12.01</v>
      </c>
      <c r="D20">
        <v>12.13</v>
      </c>
      <c r="E20">
        <v>12.63</v>
      </c>
      <c r="F20">
        <v>-4.12201154163232E-2</v>
      </c>
      <c r="G20">
        <v>-2.7870058638603368E-2</v>
      </c>
    </row>
    <row r="21" spans="1:7" x14ac:dyDescent="0.3">
      <c r="A21">
        <v>44152</v>
      </c>
      <c r="B21">
        <v>13.42</v>
      </c>
      <c r="C21">
        <v>12.54</v>
      </c>
      <c r="D21">
        <v>12.63</v>
      </c>
      <c r="E21">
        <v>13.4</v>
      </c>
      <c r="F21">
        <v>-6.0965954077593087E-2</v>
      </c>
      <c r="G21">
        <v>-4.7070562460684195E-2</v>
      </c>
    </row>
    <row r="22" spans="1:7" x14ac:dyDescent="0.3">
      <c r="A22">
        <v>44153</v>
      </c>
      <c r="B22">
        <v>14.27</v>
      </c>
      <c r="C22">
        <v>12.68</v>
      </c>
      <c r="D22">
        <v>13.4</v>
      </c>
      <c r="E22">
        <v>13.58</v>
      </c>
      <c r="F22">
        <v>-1.3432835820895495E-2</v>
      </c>
      <c r="G22">
        <v>8.1829669988191522E-3</v>
      </c>
    </row>
    <row r="23" spans="1:7" x14ac:dyDescent="0.3">
      <c r="A23">
        <v>44154</v>
      </c>
      <c r="B23">
        <v>14</v>
      </c>
      <c r="C23">
        <v>13.03</v>
      </c>
      <c r="D23">
        <v>13.58</v>
      </c>
      <c r="E23">
        <v>13.63</v>
      </c>
      <c r="F23">
        <v>-3.6818851251840812E-3</v>
      </c>
      <c r="G23">
        <v>1.4495780766981325E-2</v>
      </c>
    </row>
    <row r="24" spans="1:7" x14ac:dyDescent="0.3">
      <c r="A24">
        <v>44155</v>
      </c>
      <c r="B24">
        <v>14.48</v>
      </c>
      <c r="C24">
        <v>13.47</v>
      </c>
      <c r="D24">
        <v>13.63</v>
      </c>
      <c r="E24">
        <v>14.11</v>
      </c>
      <c r="F24">
        <v>-3.5216434336023283E-2</v>
      </c>
      <c r="G24">
        <v>-8.1832054597092085E-2</v>
      </c>
    </row>
    <row r="25" spans="1:7" x14ac:dyDescent="0.3">
      <c r="A25">
        <v>44156</v>
      </c>
      <c r="B25">
        <v>15.49</v>
      </c>
      <c r="C25">
        <v>13.73</v>
      </c>
      <c r="D25">
        <v>14.11</v>
      </c>
      <c r="E25">
        <v>15.46</v>
      </c>
      <c r="F25">
        <v>-9.5676824946846262E-2</v>
      </c>
      <c r="G25">
        <v>-8.195051231314765E-2</v>
      </c>
    </row>
    <row r="26" spans="1:7" x14ac:dyDescent="0.3">
      <c r="A26">
        <v>44157</v>
      </c>
      <c r="B26">
        <v>15.72</v>
      </c>
      <c r="C26">
        <v>13.88</v>
      </c>
      <c r="D26">
        <v>15.46</v>
      </c>
      <c r="E26">
        <v>14.52</v>
      </c>
      <c r="F26">
        <v>6.0802069857697316E-2</v>
      </c>
      <c r="G26">
        <v>-1.4033245210589129E-2</v>
      </c>
    </row>
    <row r="27" spans="1:7" x14ac:dyDescent="0.3">
      <c r="A27">
        <v>44158</v>
      </c>
      <c r="B27">
        <v>15.43</v>
      </c>
      <c r="C27">
        <v>14.25</v>
      </c>
      <c r="D27">
        <v>14.52</v>
      </c>
      <c r="E27">
        <v>15.28</v>
      </c>
      <c r="F27">
        <v>-5.2341597796143224E-2</v>
      </c>
      <c r="G27">
        <v>-8.7712719415724782E-2</v>
      </c>
    </row>
    <row r="28" spans="1:7" x14ac:dyDescent="0.3">
      <c r="A28">
        <v>44159</v>
      </c>
      <c r="B28">
        <v>16.399999999999999</v>
      </c>
      <c r="C28">
        <v>15</v>
      </c>
      <c r="D28">
        <v>15.28</v>
      </c>
      <c r="E28">
        <v>15.66</v>
      </c>
      <c r="F28">
        <v>-2.486910994764413E-2</v>
      </c>
      <c r="G28">
        <v>6.8129955838654999E-3</v>
      </c>
    </row>
    <row r="29" spans="1:7" x14ac:dyDescent="0.3">
      <c r="A29">
        <v>44160</v>
      </c>
      <c r="B29">
        <v>15.86</v>
      </c>
      <c r="C29">
        <v>13.81</v>
      </c>
      <c r="D29">
        <v>15.66</v>
      </c>
      <c r="E29">
        <v>14.23</v>
      </c>
      <c r="F29">
        <v>9.1315453384418932E-2</v>
      </c>
      <c r="G29">
        <v>5.8811861549142197E-2</v>
      </c>
    </row>
    <row r="30" spans="1:7" x14ac:dyDescent="0.3">
      <c r="A30">
        <v>44161</v>
      </c>
      <c r="B30">
        <v>14.47</v>
      </c>
      <c r="C30">
        <v>11.33</v>
      </c>
      <c r="D30">
        <v>14.23</v>
      </c>
      <c r="E30">
        <v>12.57</v>
      </c>
      <c r="F30">
        <v>0.11665495432185524</v>
      </c>
      <c r="G30">
        <v>8.6371619248331477E-2</v>
      </c>
    </row>
    <row r="31" spans="1:7" x14ac:dyDescent="0.3">
      <c r="A31">
        <v>44162</v>
      </c>
      <c r="B31">
        <v>12.94</v>
      </c>
      <c r="C31">
        <v>11.97</v>
      </c>
      <c r="D31">
        <v>12.57</v>
      </c>
      <c r="E31">
        <v>12.5</v>
      </c>
      <c r="F31">
        <v>5.5688146380270531E-3</v>
      </c>
      <c r="G31">
        <v>2.671946484179788E-3</v>
      </c>
    </row>
    <row r="32" spans="1:7" x14ac:dyDescent="0.3">
      <c r="A32">
        <v>44163</v>
      </c>
      <c r="B32">
        <v>13.43</v>
      </c>
      <c r="C32">
        <v>12.36</v>
      </c>
      <c r="D32">
        <v>12.5</v>
      </c>
      <c r="E32">
        <v>13.33</v>
      </c>
      <c r="F32">
        <v>-6.6400000000000015E-2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B6828-CFB1-48A9-BBA3-1033A9CA0B80}">
  <sheetPr codeName="Sheet18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13643.6</v>
      </c>
      <c r="C2">
        <v>12985.56</v>
      </c>
      <c r="D2">
        <v>13285.97</v>
      </c>
      <c r="E2">
        <v>13462.18</v>
      </c>
      <c r="F2"/>
      <c r="G2"/>
    </row>
    <row r="3" spans="1:7" x14ac:dyDescent="0.3">
      <c r="A3">
        <v>44134</v>
      </c>
      <c r="B3">
        <v>13674.89</v>
      </c>
      <c r="C3">
        <v>13132.53</v>
      </c>
      <c r="D3">
        <v>13462.18</v>
      </c>
      <c r="E3">
        <v>13565.95</v>
      </c>
      <c r="F3">
        <v>-7.7082612177226117E-3</v>
      </c>
      <c r="G3">
        <v>1.2334210662125256E-2</v>
      </c>
    </row>
    <row r="4" spans="1:7" x14ac:dyDescent="0.3">
      <c r="A4">
        <v>44135</v>
      </c>
      <c r="B4">
        <v>14077.8</v>
      </c>
      <c r="C4">
        <v>13432.24</v>
      </c>
      <c r="D4">
        <v>13565.95</v>
      </c>
      <c r="E4">
        <v>13803.41</v>
      </c>
      <c r="F4">
        <v>-1.7504118767944776E-2</v>
      </c>
      <c r="G4">
        <v>-1.0476538823283477E-2</v>
      </c>
    </row>
    <row r="5" spans="1:7" x14ac:dyDescent="0.3">
      <c r="A5">
        <v>44136</v>
      </c>
      <c r="B5">
        <v>13897.02</v>
      </c>
      <c r="C5">
        <v>13630.22</v>
      </c>
      <c r="D5">
        <v>13803.41</v>
      </c>
      <c r="E5">
        <v>13761.72</v>
      </c>
      <c r="F5">
        <v>3.0202681801091424E-3</v>
      </c>
      <c r="G5">
        <v>-2.5803449078263707E-2</v>
      </c>
    </row>
    <row r="6" spans="1:7" x14ac:dyDescent="0.3">
      <c r="A6">
        <v>44137</v>
      </c>
      <c r="B6">
        <v>13828.48</v>
      </c>
      <c r="C6">
        <v>13221.65</v>
      </c>
      <c r="D6">
        <v>13761.72</v>
      </c>
      <c r="E6">
        <v>13571.24</v>
      </c>
      <c r="F6">
        <v>1.3841293094177143E-2</v>
      </c>
      <c r="G6">
        <v>3.3119092627599156E-2</v>
      </c>
    </row>
    <row r="7" spans="1:7" x14ac:dyDescent="0.3">
      <c r="A7">
        <v>44138</v>
      </c>
      <c r="B7">
        <v>14071.54</v>
      </c>
      <c r="C7">
        <v>13300.84</v>
      </c>
      <c r="D7">
        <v>13571.24</v>
      </c>
      <c r="E7">
        <v>14023.78</v>
      </c>
      <c r="F7">
        <v>-3.3345515958748129E-2</v>
      </c>
      <c r="G7">
        <v>-1.191314095044449E-2</v>
      </c>
    </row>
    <row r="8" spans="1:7" x14ac:dyDescent="0.3">
      <c r="A8">
        <v>44139</v>
      </c>
      <c r="B8">
        <v>14258.9</v>
      </c>
      <c r="C8">
        <v>13539.13</v>
      </c>
      <c r="D8">
        <v>14023.78</v>
      </c>
      <c r="E8">
        <v>14157.73</v>
      </c>
      <c r="F8">
        <v>-9.5516330119267412E-3</v>
      </c>
      <c r="G8">
        <v>-3.730228244628786E-2</v>
      </c>
    </row>
    <row r="9" spans="1:7" x14ac:dyDescent="0.3">
      <c r="A9">
        <v>44140</v>
      </c>
      <c r="B9">
        <v>15739.47</v>
      </c>
      <c r="C9">
        <v>14114.37</v>
      </c>
      <c r="D9">
        <v>14157.73</v>
      </c>
      <c r="E9">
        <v>15599.92</v>
      </c>
      <c r="F9">
        <v>-0.10186590646946936</v>
      </c>
      <c r="G9">
        <v>-3.5339989072666667E-2</v>
      </c>
    </row>
    <row r="10" spans="1:7" x14ac:dyDescent="0.3">
      <c r="A10">
        <v>44141</v>
      </c>
      <c r="B10">
        <v>15948.88</v>
      </c>
      <c r="C10">
        <v>15219.57</v>
      </c>
      <c r="D10">
        <v>15599.92</v>
      </c>
      <c r="E10">
        <v>15590.62</v>
      </c>
      <c r="F10">
        <v>5.96156903368672E-4</v>
      </c>
      <c r="G10">
        <v>-9.4581304420830348E-2</v>
      </c>
    </row>
    <row r="11" spans="1:7" x14ac:dyDescent="0.3">
      <c r="A11">
        <v>44142</v>
      </c>
      <c r="B11">
        <v>15765.02</v>
      </c>
      <c r="C11">
        <v>14427.34</v>
      </c>
      <c r="D11">
        <v>15590.62</v>
      </c>
      <c r="E11">
        <v>14838.16</v>
      </c>
      <c r="F11">
        <v>4.8263635442336583E-2</v>
      </c>
      <c r="G11">
        <v>4.4924614305750343E-2</v>
      </c>
    </row>
    <row r="12" spans="1:7" x14ac:dyDescent="0.3">
      <c r="A12">
        <v>44143</v>
      </c>
      <c r="B12">
        <v>15653.89</v>
      </c>
      <c r="C12">
        <v>14739.11</v>
      </c>
      <c r="D12">
        <v>14838.16</v>
      </c>
      <c r="E12">
        <v>15488.25</v>
      </c>
      <c r="F12">
        <v>-4.3812035993681109E-2</v>
      </c>
      <c r="G12">
        <v>-4.3412417970721817E-2</v>
      </c>
    </row>
    <row r="13" spans="1:7" x14ac:dyDescent="0.3">
      <c r="A13">
        <v>44144</v>
      </c>
      <c r="B13">
        <v>15812.23</v>
      </c>
      <c r="C13">
        <v>14833.13</v>
      </c>
      <c r="D13">
        <v>15488.25</v>
      </c>
      <c r="E13">
        <v>15335.03</v>
      </c>
      <c r="F13">
        <v>9.892660565267164E-3</v>
      </c>
      <c r="G13">
        <v>2.2628315081145267E-2</v>
      </c>
    </row>
    <row r="14" spans="1:7" x14ac:dyDescent="0.3">
      <c r="A14">
        <v>44145</v>
      </c>
      <c r="B14">
        <v>15476.99</v>
      </c>
      <c r="C14">
        <v>15099.11</v>
      </c>
      <c r="D14">
        <v>15335.03</v>
      </c>
      <c r="E14">
        <v>15313.73</v>
      </c>
      <c r="F14">
        <v>1.3889767414867471E-3</v>
      </c>
      <c r="G14">
        <v>-1.4422319721003607E-2</v>
      </c>
    </row>
    <row r="15" spans="1:7" x14ac:dyDescent="0.3">
      <c r="A15">
        <v>44146</v>
      </c>
      <c r="B15">
        <v>15983.03</v>
      </c>
      <c r="C15">
        <v>15288.76</v>
      </c>
      <c r="D15">
        <v>15313.73</v>
      </c>
      <c r="E15">
        <v>15707.08</v>
      </c>
      <c r="F15">
        <v>-2.5686099990009037E-2</v>
      </c>
      <c r="G15">
        <v>-2.8944683493767442E-2</v>
      </c>
    </row>
    <row r="16" spans="1:7" x14ac:dyDescent="0.3">
      <c r="A16">
        <v>44147</v>
      </c>
      <c r="B16">
        <v>16348.99</v>
      </c>
      <c r="C16">
        <v>15476.25</v>
      </c>
      <c r="D16">
        <v>15707.08</v>
      </c>
      <c r="E16">
        <v>16306.53</v>
      </c>
      <c r="F16">
        <v>-3.8164318256480589E-2</v>
      </c>
      <c r="G16">
        <v>2.4358172921472576E-3</v>
      </c>
    </row>
    <row r="17" spans="1:7" x14ac:dyDescent="0.3">
      <c r="A17">
        <v>44148</v>
      </c>
      <c r="B17">
        <v>16482.62</v>
      </c>
      <c r="C17">
        <v>15975.8</v>
      </c>
      <c r="D17">
        <v>16306.53</v>
      </c>
      <c r="E17">
        <v>16332.85</v>
      </c>
      <c r="F17">
        <v>-1.6140773052268909E-3</v>
      </c>
      <c r="G17">
        <v>-3.0446432430096371E-2</v>
      </c>
    </row>
    <row r="18" spans="1:7" x14ac:dyDescent="0.3">
      <c r="A18">
        <v>44149</v>
      </c>
      <c r="B18">
        <v>16334.29</v>
      </c>
      <c r="C18">
        <v>15720.61</v>
      </c>
      <c r="D18">
        <v>16332.85</v>
      </c>
      <c r="E18">
        <v>16075.95</v>
      </c>
      <c r="F18">
        <v>1.5729036879662761E-2</v>
      </c>
      <c r="G18">
        <v>3.3216599911925715E-2</v>
      </c>
    </row>
    <row r="19" spans="1:7" x14ac:dyDescent="0.3">
      <c r="A19">
        <v>44150</v>
      </c>
      <c r="B19">
        <v>16156.82</v>
      </c>
      <c r="C19">
        <v>15796.03</v>
      </c>
      <c r="D19">
        <v>16075.95</v>
      </c>
      <c r="E19">
        <v>15964.7</v>
      </c>
      <c r="F19">
        <v>6.9202753180993559E-3</v>
      </c>
      <c r="G19">
        <v>2.7156584170227482E-2</v>
      </c>
    </row>
    <row r="20" spans="1:7" x14ac:dyDescent="0.3">
      <c r="A20">
        <v>44151</v>
      </c>
      <c r="B20">
        <v>16876.48</v>
      </c>
      <c r="C20">
        <v>15877.77</v>
      </c>
      <c r="D20">
        <v>15964.7</v>
      </c>
      <c r="E20">
        <v>16721.46</v>
      </c>
      <c r="F20">
        <v>-4.7402080840855065E-2</v>
      </c>
      <c r="G20">
        <v>-2.7870058638603368E-2</v>
      </c>
    </row>
    <row r="21" spans="1:7" x14ac:dyDescent="0.3">
      <c r="A21">
        <v>44152</v>
      </c>
      <c r="B21">
        <v>17857.37</v>
      </c>
      <c r="C21">
        <v>16563.5</v>
      </c>
      <c r="D21">
        <v>16721.46</v>
      </c>
      <c r="E21">
        <v>17681.54</v>
      </c>
      <c r="F21">
        <v>-5.7416039030084853E-2</v>
      </c>
      <c r="G21">
        <v>-4.7070562460684195E-2</v>
      </c>
    </row>
    <row r="22" spans="1:7" x14ac:dyDescent="0.3">
      <c r="A22">
        <v>44153</v>
      </c>
      <c r="B22">
        <v>18466.099999999999</v>
      </c>
      <c r="C22">
        <v>17260.91</v>
      </c>
      <c r="D22">
        <v>17681.54</v>
      </c>
      <c r="E22">
        <v>17786.27</v>
      </c>
      <c r="F22">
        <v>-5.9231266054879939E-3</v>
      </c>
      <c r="G22">
        <v>8.1829669988191522E-3</v>
      </c>
    </row>
    <row r="23" spans="1:7" x14ac:dyDescent="0.3">
      <c r="A23">
        <v>44154</v>
      </c>
      <c r="B23">
        <v>18172.87</v>
      </c>
      <c r="C23">
        <v>17365.080000000002</v>
      </c>
      <c r="D23">
        <v>17786.27</v>
      </c>
      <c r="E23">
        <v>17824.64</v>
      </c>
      <c r="F23">
        <v>-2.1572819933577403E-3</v>
      </c>
      <c r="G23">
        <v>1.4495780766981325E-2</v>
      </c>
    </row>
    <row r="24" spans="1:7" x14ac:dyDescent="0.3">
      <c r="A24">
        <v>44155</v>
      </c>
      <c r="B24">
        <v>18814.87</v>
      </c>
      <c r="C24">
        <v>17764.07</v>
      </c>
      <c r="D24">
        <v>17824.64</v>
      </c>
      <c r="E24">
        <v>18672.78</v>
      </c>
      <c r="F24">
        <v>-4.758244766794717E-2</v>
      </c>
      <c r="G24">
        <v>-8.1832054597092085E-2</v>
      </c>
    </row>
    <row r="25" spans="1:7" x14ac:dyDescent="0.3">
      <c r="A25">
        <v>44156</v>
      </c>
      <c r="B25">
        <v>18966.12</v>
      </c>
      <c r="C25">
        <v>18359.060000000001</v>
      </c>
      <c r="D25">
        <v>18672.78</v>
      </c>
      <c r="E25">
        <v>18704.060000000001</v>
      </c>
      <c r="F25">
        <v>-1.6751656689577565E-3</v>
      </c>
      <c r="G25">
        <v>-8.195051231314765E-2</v>
      </c>
    </row>
    <row r="26" spans="1:7" x14ac:dyDescent="0.3">
      <c r="A26">
        <v>44157</v>
      </c>
      <c r="B26">
        <v>18757.55</v>
      </c>
      <c r="C26">
        <v>17635.18</v>
      </c>
      <c r="D26">
        <v>18704.060000000001</v>
      </c>
      <c r="E26">
        <v>18430.59</v>
      </c>
      <c r="F26">
        <v>1.4620889796119196E-2</v>
      </c>
      <c r="G26">
        <v>-1.4033245210589129E-2</v>
      </c>
    </row>
    <row r="27" spans="1:7" x14ac:dyDescent="0.3">
      <c r="A27">
        <v>44158</v>
      </c>
      <c r="B27">
        <v>18761.66</v>
      </c>
      <c r="C27">
        <v>18010.509999999998</v>
      </c>
      <c r="D27">
        <v>18430.59</v>
      </c>
      <c r="E27">
        <v>18385.740000000002</v>
      </c>
      <c r="F27">
        <v>2.4334543820897503E-3</v>
      </c>
      <c r="G27">
        <v>-8.7712719415724782E-2</v>
      </c>
    </row>
    <row r="28" spans="1:7" x14ac:dyDescent="0.3">
      <c r="A28">
        <v>44159</v>
      </c>
      <c r="B28">
        <v>19419.490000000002</v>
      </c>
      <c r="C28">
        <v>18117.78</v>
      </c>
      <c r="D28">
        <v>18385.740000000002</v>
      </c>
      <c r="E28">
        <v>19157.16</v>
      </c>
      <c r="F28">
        <v>-4.1957517075733586E-2</v>
      </c>
      <c r="G28">
        <v>6.8129955838654999E-3</v>
      </c>
    </row>
    <row r="29" spans="1:7" x14ac:dyDescent="0.3">
      <c r="A29">
        <v>44160</v>
      </c>
      <c r="B29">
        <v>19488.810000000001</v>
      </c>
      <c r="C29">
        <v>18519.89</v>
      </c>
      <c r="D29">
        <v>19157.16</v>
      </c>
      <c r="E29">
        <v>18725.759999999998</v>
      </c>
      <c r="F29">
        <v>2.2518995508728934E-2</v>
      </c>
      <c r="G29">
        <v>5.8811861549142197E-2</v>
      </c>
    </row>
    <row r="30" spans="1:7" x14ac:dyDescent="0.3">
      <c r="A30">
        <v>44161</v>
      </c>
      <c r="B30">
        <v>18907.310000000001</v>
      </c>
      <c r="C30">
        <v>16270.37</v>
      </c>
      <c r="D30">
        <v>18725.759999999998</v>
      </c>
      <c r="E30">
        <v>17175.86</v>
      </c>
      <c r="F30">
        <v>8.276833623842228E-2</v>
      </c>
      <c r="G30">
        <v>8.6371619248331477E-2</v>
      </c>
    </row>
    <row r="31" spans="1:7" x14ac:dyDescent="0.3">
      <c r="A31">
        <v>44162</v>
      </c>
      <c r="B31">
        <v>17479.12</v>
      </c>
      <c r="C31">
        <v>16462.87</v>
      </c>
      <c r="D31">
        <v>17175.86</v>
      </c>
      <c r="E31">
        <v>17155</v>
      </c>
      <c r="F31">
        <v>1.2144952276043064E-3</v>
      </c>
      <c r="G31">
        <v>2.671946484179788E-3</v>
      </c>
    </row>
    <row r="32" spans="1:7" x14ac:dyDescent="0.3">
      <c r="A32">
        <v>44163</v>
      </c>
      <c r="B32">
        <v>17838.759999999998</v>
      </c>
      <c r="C32">
        <v>16895</v>
      </c>
      <c r="D32">
        <v>17155</v>
      </c>
      <c r="E32">
        <v>17824.669999999998</v>
      </c>
      <c r="F32">
        <v>-3.9036432526959874E-2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8A9A1-41FF-429B-A3C8-2B1329AB8AA9}">
  <sheetPr codeName="Sheet19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1.014</v>
      </c>
      <c r="C2">
        <v>0.9647</v>
      </c>
      <c r="D2">
        <v>1</v>
      </c>
      <c r="E2">
        <v>1</v>
      </c>
      <c r="F2"/>
      <c r="G2"/>
    </row>
    <row r="3" spans="1:7" x14ac:dyDescent="0.3">
      <c r="A3">
        <v>44134</v>
      </c>
      <c r="B3">
        <v>1.008</v>
      </c>
      <c r="C3">
        <v>0.96809999999999996</v>
      </c>
      <c r="D3">
        <v>1</v>
      </c>
      <c r="E3">
        <v>1</v>
      </c>
      <c r="F3">
        <v>0</v>
      </c>
      <c r="G3">
        <v>1.2334210662125256E-2</v>
      </c>
    </row>
    <row r="4" spans="1:7" x14ac:dyDescent="0.3">
      <c r="A4">
        <v>44135</v>
      </c>
      <c r="B4">
        <v>1.02</v>
      </c>
      <c r="C4">
        <v>0.97309999999999997</v>
      </c>
      <c r="D4">
        <v>1</v>
      </c>
      <c r="E4">
        <v>1</v>
      </c>
      <c r="F4">
        <v>0</v>
      </c>
      <c r="G4">
        <v>-1.0476538823283477E-2</v>
      </c>
    </row>
    <row r="5" spans="1:7" x14ac:dyDescent="0.3">
      <c r="A5">
        <v>44136</v>
      </c>
      <c r="B5">
        <v>1.01</v>
      </c>
      <c r="C5">
        <v>0.99070000000000003</v>
      </c>
      <c r="D5">
        <v>1</v>
      </c>
      <c r="E5">
        <v>1</v>
      </c>
      <c r="F5">
        <v>0</v>
      </c>
      <c r="G5">
        <v>-2.5803449078263707E-2</v>
      </c>
    </row>
    <row r="6" spans="1:7" x14ac:dyDescent="0.3">
      <c r="A6">
        <v>44137</v>
      </c>
      <c r="B6">
        <v>1.0189999999999999</v>
      </c>
      <c r="C6">
        <v>0.97419999999999995</v>
      </c>
      <c r="D6">
        <v>1</v>
      </c>
      <c r="E6">
        <v>0.99990000000000001</v>
      </c>
      <c r="F6">
        <v>9.9999999999988987E-5</v>
      </c>
      <c r="G6">
        <v>3.3119092627599156E-2</v>
      </c>
    </row>
    <row r="7" spans="1:7" x14ac:dyDescent="0.3">
      <c r="A7">
        <v>44138</v>
      </c>
      <c r="B7">
        <v>1.004</v>
      </c>
      <c r="C7">
        <v>0.94869999999999999</v>
      </c>
      <c r="D7">
        <v>0.99990000000000001</v>
      </c>
      <c r="E7">
        <v>1</v>
      </c>
      <c r="F7">
        <v>-1.0001000100001711E-4</v>
      </c>
      <c r="G7">
        <v>-1.191314095044449E-2</v>
      </c>
    </row>
    <row r="8" spans="1:7" x14ac:dyDescent="0.3">
      <c r="A8">
        <v>44139</v>
      </c>
      <c r="B8">
        <v>1.008</v>
      </c>
      <c r="C8">
        <v>0.95699999999999996</v>
      </c>
      <c r="D8">
        <v>1</v>
      </c>
      <c r="E8">
        <v>1.0009999999999999</v>
      </c>
      <c r="F8">
        <v>-9.9999999999988987E-4</v>
      </c>
      <c r="G8">
        <v>-3.730228244628786E-2</v>
      </c>
    </row>
    <row r="9" spans="1:7" x14ac:dyDescent="0.3">
      <c r="A9">
        <v>44140</v>
      </c>
      <c r="B9">
        <v>1.0089999999999999</v>
      </c>
      <c r="C9">
        <v>0.90500000000000003</v>
      </c>
      <c r="D9">
        <v>1.0009999999999999</v>
      </c>
      <c r="E9">
        <v>1</v>
      </c>
      <c r="F9">
        <v>9.9900099900085415E-4</v>
      </c>
      <c r="G9">
        <v>-3.5339989072666667E-2</v>
      </c>
    </row>
    <row r="10" spans="1:7" x14ac:dyDescent="0.3">
      <c r="A10">
        <v>44141</v>
      </c>
      <c r="B10">
        <v>1.0229999999999999</v>
      </c>
      <c r="C10">
        <v>0.97599999999999998</v>
      </c>
      <c r="D10">
        <v>1</v>
      </c>
      <c r="E10">
        <v>0.99980000000000002</v>
      </c>
      <c r="F10">
        <v>1.9999999999997797E-4</v>
      </c>
      <c r="G10">
        <v>-9.4581304420830348E-2</v>
      </c>
    </row>
    <row r="11" spans="1:7" x14ac:dyDescent="0.3">
      <c r="A11">
        <v>44142</v>
      </c>
      <c r="B11">
        <v>1.0620000000000001</v>
      </c>
      <c r="C11">
        <v>0.97209999999999996</v>
      </c>
      <c r="D11">
        <v>0.99980000000000002</v>
      </c>
      <c r="E11">
        <v>0.99980000000000002</v>
      </c>
      <c r="F11">
        <v>0</v>
      </c>
      <c r="G11">
        <v>4.4924614305750343E-2</v>
      </c>
    </row>
    <row r="12" spans="1:7" x14ac:dyDescent="0.3">
      <c r="A12">
        <v>44143</v>
      </c>
      <c r="B12">
        <v>1.0109999999999999</v>
      </c>
      <c r="C12">
        <v>0.95150000000000001</v>
      </c>
      <c r="D12">
        <v>0.99980000000000002</v>
      </c>
      <c r="E12">
        <v>0.99990000000000001</v>
      </c>
      <c r="F12">
        <v>-1.0002000400088917E-4</v>
      </c>
      <c r="G12">
        <v>-4.3412417970721817E-2</v>
      </c>
    </row>
    <row r="13" spans="1:7" x14ac:dyDescent="0.3">
      <c r="A13">
        <v>44144</v>
      </c>
      <c r="B13">
        <v>1.0309999999999999</v>
      </c>
      <c r="C13">
        <v>0.96760000000000002</v>
      </c>
      <c r="D13">
        <v>0.99990000000000001</v>
      </c>
      <c r="E13">
        <v>1</v>
      </c>
      <c r="F13">
        <v>-1.0001000100001711E-4</v>
      </c>
      <c r="G13">
        <v>2.2628315081145267E-2</v>
      </c>
    </row>
    <row r="14" spans="1:7" x14ac:dyDescent="0.3">
      <c r="A14">
        <v>44145</v>
      </c>
      <c r="B14">
        <v>1.0109999999999999</v>
      </c>
      <c r="C14">
        <v>0.98599999999999999</v>
      </c>
      <c r="D14">
        <v>1</v>
      </c>
      <c r="E14">
        <v>1</v>
      </c>
      <c r="F14">
        <v>0</v>
      </c>
      <c r="G14">
        <v>-1.4422319721003607E-2</v>
      </c>
    </row>
    <row r="15" spans="1:7" x14ac:dyDescent="0.3">
      <c r="A15">
        <v>44146</v>
      </c>
      <c r="B15">
        <v>1.018</v>
      </c>
      <c r="C15">
        <v>0.97360000000000002</v>
      </c>
      <c r="D15">
        <v>1</v>
      </c>
      <c r="E15">
        <v>1</v>
      </c>
      <c r="F15">
        <v>0</v>
      </c>
      <c r="G15">
        <v>-2.8944683493767442E-2</v>
      </c>
    </row>
    <row r="16" spans="1:7" x14ac:dyDescent="0.3">
      <c r="A16">
        <v>44147</v>
      </c>
      <c r="B16">
        <v>1.002</v>
      </c>
      <c r="C16">
        <v>0.94889999999999997</v>
      </c>
      <c r="D16">
        <v>1</v>
      </c>
      <c r="E16">
        <v>0.99980000000000002</v>
      </c>
      <c r="F16">
        <v>1.9999999999997797E-4</v>
      </c>
      <c r="G16">
        <v>2.4358172921472576E-3</v>
      </c>
    </row>
    <row r="17" spans="1:7" x14ac:dyDescent="0.3">
      <c r="A17">
        <v>44148</v>
      </c>
      <c r="B17">
        <v>1.0089999999999999</v>
      </c>
      <c r="C17">
        <v>0.9778</v>
      </c>
      <c r="D17">
        <v>0.99980000000000002</v>
      </c>
      <c r="E17">
        <v>0.99970000000000003</v>
      </c>
      <c r="F17">
        <v>1.0002000400077815E-4</v>
      </c>
      <c r="G17">
        <v>-3.0446432430096371E-2</v>
      </c>
    </row>
    <row r="18" spans="1:7" x14ac:dyDescent="0.3">
      <c r="A18">
        <v>44149</v>
      </c>
      <c r="B18">
        <v>1.016</v>
      </c>
      <c r="C18">
        <v>0.97740000000000005</v>
      </c>
      <c r="D18">
        <v>0.99970000000000003</v>
      </c>
      <c r="E18">
        <v>0.99950000000000006</v>
      </c>
      <c r="F18">
        <v>2.0006001800543238E-4</v>
      </c>
      <c r="G18">
        <v>3.3216599911925715E-2</v>
      </c>
    </row>
    <row r="19" spans="1:7" x14ac:dyDescent="0.3">
      <c r="A19">
        <v>44150</v>
      </c>
      <c r="B19">
        <v>1.012</v>
      </c>
      <c r="C19">
        <v>0.98950000000000005</v>
      </c>
      <c r="D19">
        <v>0.99950000000000006</v>
      </c>
      <c r="E19">
        <v>1</v>
      </c>
      <c r="F19">
        <v>-5.0025012506238475E-4</v>
      </c>
      <c r="G19">
        <v>2.7156584170227482E-2</v>
      </c>
    </row>
    <row r="20" spans="1:7" x14ac:dyDescent="0.3">
      <c r="A20">
        <v>44151</v>
      </c>
      <c r="B20">
        <v>1.01</v>
      </c>
      <c r="C20">
        <v>0.95030000000000003</v>
      </c>
      <c r="D20">
        <v>1</v>
      </c>
      <c r="E20">
        <v>1.0009999999999999</v>
      </c>
      <c r="F20">
        <v>-9.9999999999988987E-4</v>
      </c>
      <c r="G20">
        <v>-2.7870058638603368E-2</v>
      </c>
    </row>
    <row r="21" spans="1:7" x14ac:dyDescent="0.3">
      <c r="A21">
        <v>44152</v>
      </c>
      <c r="B21">
        <v>1.0109999999999999</v>
      </c>
      <c r="C21">
        <v>0.9375</v>
      </c>
      <c r="D21">
        <v>1.0009999999999999</v>
      </c>
      <c r="E21">
        <v>1.0009999999999999</v>
      </c>
      <c r="F21">
        <v>0</v>
      </c>
      <c r="G21">
        <v>-4.7070562460684195E-2</v>
      </c>
    </row>
    <row r="22" spans="1:7" x14ac:dyDescent="0.3">
      <c r="A22">
        <v>44153</v>
      </c>
      <c r="B22">
        <v>1.038</v>
      </c>
      <c r="C22">
        <v>0.97009999999999996</v>
      </c>
      <c r="D22">
        <v>1.0009999999999999</v>
      </c>
      <c r="E22">
        <v>0.99960000000000004</v>
      </c>
      <c r="F22">
        <v>1.3986013986012624E-3</v>
      </c>
      <c r="G22">
        <v>8.1829669988191522E-3</v>
      </c>
    </row>
    <row r="23" spans="1:7" x14ac:dyDescent="0.3">
      <c r="A23">
        <v>44154</v>
      </c>
      <c r="B23">
        <v>1.02</v>
      </c>
      <c r="C23">
        <v>0.97440000000000004</v>
      </c>
      <c r="D23">
        <v>0.99960000000000004</v>
      </c>
      <c r="E23">
        <v>1</v>
      </c>
      <c r="F23">
        <v>-4.0016006402554538E-4</v>
      </c>
      <c r="G23">
        <v>1.4495780766981325E-2</v>
      </c>
    </row>
    <row r="24" spans="1:7" x14ac:dyDescent="0.3">
      <c r="A24">
        <v>44155</v>
      </c>
      <c r="B24">
        <v>1.0069999999999999</v>
      </c>
      <c r="C24">
        <v>0.95109999999999995</v>
      </c>
      <c r="D24">
        <v>1</v>
      </c>
      <c r="E24">
        <v>0.99970000000000003</v>
      </c>
      <c r="F24">
        <v>2.9999999999996696E-4</v>
      </c>
      <c r="G24">
        <v>-8.1832054597092085E-2</v>
      </c>
    </row>
    <row r="25" spans="1:7" x14ac:dyDescent="0.3">
      <c r="A25">
        <v>44156</v>
      </c>
      <c r="B25">
        <v>1.014</v>
      </c>
      <c r="C25">
        <v>0.98160000000000003</v>
      </c>
      <c r="D25">
        <v>0.99970000000000003</v>
      </c>
      <c r="E25">
        <v>1</v>
      </c>
      <c r="F25">
        <v>-3.0009002700803755E-4</v>
      </c>
      <c r="G25">
        <v>-8.195051231314765E-2</v>
      </c>
    </row>
    <row r="26" spans="1:7" x14ac:dyDescent="0.3">
      <c r="A26">
        <v>44157</v>
      </c>
      <c r="B26">
        <v>1.0169999999999999</v>
      </c>
      <c r="C26">
        <v>0.95599999999999996</v>
      </c>
      <c r="D26">
        <v>1</v>
      </c>
      <c r="E26">
        <v>0.99909999999999999</v>
      </c>
      <c r="F26">
        <v>9.000000000000119E-4</v>
      </c>
      <c r="G26">
        <v>-1.4033245210589129E-2</v>
      </c>
    </row>
    <row r="27" spans="1:7" x14ac:dyDescent="0.3">
      <c r="A27">
        <v>44158</v>
      </c>
      <c r="B27">
        <v>1.02</v>
      </c>
      <c r="C27">
        <v>0.97909999999999997</v>
      </c>
      <c r="D27">
        <v>0.99909999999999999</v>
      </c>
      <c r="E27">
        <v>0.99950000000000006</v>
      </c>
      <c r="F27">
        <v>-4.0036032429191515E-4</v>
      </c>
      <c r="G27">
        <v>-8.7712719415724782E-2</v>
      </c>
    </row>
    <row r="28" spans="1:7" x14ac:dyDescent="0.3">
      <c r="A28">
        <v>44159</v>
      </c>
      <c r="B28">
        <v>1.014</v>
      </c>
      <c r="C28">
        <v>0.94579999999999997</v>
      </c>
      <c r="D28">
        <v>0.99950000000000006</v>
      </c>
      <c r="E28">
        <v>1</v>
      </c>
      <c r="F28">
        <v>-5.0025012506238475E-4</v>
      </c>
      <c r="G28">
        <v>6.8129955838654999E-3</v>
      </c>
    </row>
    <row r="29" spans="1:7" x14ac:dyDescent="0.3">
      <c r="A29">
        <v>44160</v>
      </c>
      <c r="B29">
        <v>1.04</v>
      </c>
      <c r="C29">
        <v>0.98860000000000003</v>
      </c>
      <c r="D29">
        <v>1</v>
      </c>
      <c r="E29">
        <v>0.99960000000000004</v>
      </c>
      <c r="F29">
        <v>3.9999999999995595E-4</v>
      </c>
      <c r="G29">
        <v>5.8811861549142197E-2</v>
      </c>
    </row>
    <row r="30" spans="1:7" x14ac:dyDescent="0.3">
      <c r="A30">
        <v>44161</v>
      </c>
      <c r="B30">
        <v>1.101</v>
      </c>
      <c r="C30">
        <v>0.94779999999999998</v>
      </c>
      <c r="D30">
        <v>0.99960000000000004</v>
      </c>
      <c r="E30">
        <v>1.0009999999999999</v>
      </c>
      <c r="F30">
        <v>-1.4005602240894088E-3</v>
      </c>
      <c r="G30">
        <v>8.6371619248331477E-2</v>
      </c>
    </row>
    <row r="31" spans="1:7" x14ac:dyDescent="0.3">
      <c r="A31">
        <v>44162</v>
      </c>
      <c r="B31">
        <v>1.02</v>
      </c>
      <c r="C31">
        <v>0.96079999999999999</v>
      </c>
      <c r="D31">
        <v>1.0009999999999999</v>
      </c>
      <c r="E31">
        <v>1.0009999999999999</v>
      </c>
      <c r="F31">
        <v>0</v>
      </c>
      <c r="G31">
        <v>2.671946484179788E-3</v>
      </c>
    </row>
    <row r="32" spans="1:7" x14ac:dyDescent="0.3">
      <c r="A32">
        <v>44163</v>
      </c>
      <c r="B32">
        <v>1</v>
      </c>
      <c r="C32">
        <v>0.99919999999999998</v>
      </c>
      <c r="D32">
        <v>1</v>
      </c>
      <c r="E32">
        <v>0.99990000000000001</v>
      </c>
      <c r="F32">
        <v>1.098901098900984E-3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B8DA-A798-4262-BFB8-82F0C74997CC}">
  <sheetPr codeName="Sheet7">
    <tabColor rgb="FFC6E0B4"/>
  </sheetPr>
  <dimension ref="A1:G99"/>
  <sheetViews>
    <sheetView workbookViewId="0">
      <selection activeCell="G3" sqref="G3:G32"/>
    </sheetView>
  </sheetViews>
  <sheetFormatPr defaultRowHeight="14.4" x14ac:dyDescent="0.3"/>
  <cols>
    <col min="1" max="1" width="8.88671875" style="3"/>
    <col min="2" max="5" width="8.88671875" style="4"/>
    <col min="6" max="6" width="8.88671875" style="5"/>
    <col min="7" max="7" width="8.886718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393.98</v>
      </c>
      <c r="C2">
        <v>380.87</v>
      </c>
      <c r="D2">
        <v>388.77</v>
      </c>
      <c r="E2">
        <v>387.54</v>
      </c>
      <c r="F2"/>
      <c r="G2"/>
    </row>
    <row r="3" spans="1:7" x14ac:dyDescent="0.3">
      <c r="A3">
        <v>44134</v>
      </c>
      <c r="B3">
        <v>392.05</v>
      </c>
      <c r="C3">
        <v>374.08</v>
      </c>
      <c r="D3">
        <v>387.54</v>
      </c>
      <c r="E3">
        <v>382.76</v>
      </c>
      <c r="F3">
        <v>1.2334210662125256E-2</v>
      </c>
      <c r="G3">
        <v>1.2334210662125256E-2</v>
      </c>
    </row>
    <row r="4" spans="1:7" x14ac:dyDescent="0.3">
      <c r="A4">
        <v>44135</v>
      </c>
      <c r="B4">
        <v>392.57</v>
      </c>
      <c r="C4">
        <v>385.67</v>
      </c>
      <c r="D4">
        <v>382.83</v>
      </c>
      <c r="E4">
        <v>386.77</v>
      </c>
      <c r="F4">
        <v>-1.0476538823283477E-2</v>
      </c>
      <c r="G4">
        <v>-1.0476538823283477E-2</v>
      </c>
    </row>
    <row r="5" spans="1:7" x14ac:dyDescent="0.3">
      <c r="A5">
        <v>44136</v>
      </c>
      <c r="B5">
        <v>397.71</v>
      </c>
      <c r="C5">
        <v>385.6</v>
      </c>
      <c r="D5">
        <v>386.77</v>
      </c>
      <c r="E5">
        <v>396.75</v>
      </c>
      <c r="F5">
        <v>-2.5803449078263707E-2</v>
      </c>
      <c r="G5">
        <v>-2.5803449078263707E-2</v>
      </c>
    </row>
    <row r="6" spans="1:7" x14ac:dyDescent="0.3">
      <c r="A6">
        <v>44137</v>
      </c>
      <c r="B6">
        <v>404.39</v>
      </c>
      <c r="C6">
        <v>378.67</v>
      </c>
      <c r="D6">
        <v>396.49</v>
      </c>
      <c r="E6">
        <v>383.61</v>
      </c>
      <c r="F6">
        <v>3.3119092627599156E-2</v>
      </c>
      <c r="G6">
        <v>3.3119092627599156E-2</v>
      </c>
    </row>
    <row r="7" spans="1:7" x14ac:dyDescent="0.3">
      <c r="A7">
        <v>44138</v>
      </c>
      <c r="B7">
        <v>398.14</v>
      </c>
      <c r="C7">
        <v>388.18</v>
      </c>
      <c r="D7">
        <v>383.66</v>
      </c>
      <c r="E7">
        <v>388.18</v>
      </c>
      <c r="F7">
        <v>-1.191314095044449E-2</v>
      </c>
      <c r="G7">
        <v>-1.191314095044449E-2</v>
      </c>
    </row>
    <row r="8" spans="1:7" x14ac:dyDescent="0.3">
      <c r="A8">
        <v>44139</v>
      </c>
      <c r="B8">
        <v>408.58</v>
      </c>
      <c r="C8">
        <v>377.14</v>
      </c>
      <c r="D8">
        <v>388.17</v>
      </c>
      <c r="E8">
        <v>402.66</v>
      </c>
      <c r="F8">
        <v>-3.730228244628786E-2</v>
      </c>
      <c r="G8">
        <v>-3.730228244628786E-2</v>
      </c>
    </row>
    <row r="9" spans="1:7" x14ac:dyDescent="0.3">
      <c r="A9">
        <v>44140</v>
      </c>
      <c r="B9">
        <v>420.74</v>
      </c>
      <c r="C9">
        <v>397.1</v>
      </c>
      <c r="D9">
        <v>402.66</v>
      </c>
      <c r="E9">
        <v>416.89</v>
      </c>
      <c r="F9">
        <v>-3.5339989072666667E-2</v>
      </c>
      <c r="G9">
        <v>-3.5339989072666667E-2</v>
      </c>
    </row>
    <row r="10" spans="1:7" x14ac:dyDescent="0.3">
      <c r="A10">
        <v>44141</v>
      </c>
      <c r="B10">
        <v>458.22</v>
      </c>
      <c r="C10">
        <v>415.41</v>
      </c>
      <c r="D10">
        <v>416.89</v>
      </c>
      <c r="E10">
        <v>456.32</v>
      </c>
      <c r="F10">
        <v>-9.4581304420830348E-2</v>
      </c>
      <c r="G10">
        <v>-9.4581304420830348E-2</v>
      </c>
    </row>
    <row r="11" spans="1:7" x14ac:dyDescent="0.3">
      <c r="A11">
        <v>44142</v>
      </c>
      <c r="B11">
        <v>468.04</v>
      </c>
      <c r="C11">
        <v>426.27</v>
      </c>
      <c r="D11">
        <v>456.32</v>
      </c>
      <c r="E11">
        <v>435.82</v>
      </c>
      <c r="F11">
        <v>4.4924614305750343E-2</v>
      </c>
      <c r="G11">
        <v>4.4924614305750343E-2</v>
      </c>
    </row>
    <row r="12" spans="1:7" x14ac:dyDescent="0.3">
      <c r="A12">
        <v>44143</v>
      </c>
      <c r="B12">
        <v>460.03</v>
      </c>
      <c r="C12">
        <v>432.87</v>
      </c>
      <c r="D12">
        <v>435.82</v>
      </c>
      <c r="E12">
        <v>454.74</v>
      </c>
      <c r="F12">
        <v>-4.3412417970721817E-2</v>
      </c>
      <c r="G12">
        <v>-4.3412417970721817E-2</v>
      </c>
    </row>
    <row r="13" spans="1:7" x14ac:dyDescent="0.3">
      <c r="A13">
        <v>44144</v>
      </c>
      <c r="B13">
        <v>458.75</v>
      </c>
      <c r="C13">
        <v>434.54</v>
      </c>
      <c r="D13">
        <v>454.74</v>
      </c>
      <c r="E13">
        <v>444.45</v>
      </c>
      <c r="F13">
        <v>2.2628315081145267E-2</v>
      </c>
      <c r="G13">
        <v>2.2628315081145267E-2</v>
      </c>
    </row>
    <row r="14" spans="1:7" x14ac:dyDescent="0.3">
      <c r="A14">
        <v>44145</v>
      </c>
      <c r="B14">
        <v>455.07</v>
      </c>
      <c r="C14">
        <v>439.44</v>
      </c>
      <c r="D14">
        <v>444.45</v>
      </c>
      <c r="E14">
        <v>450.86</v>
      </c>
      <c r="F14">
        <v>-1.4422319721003607E-2</v>
      </c>
      <c r="G14">
        <v>-1.4422319721003607E-2</v>
      </c>
    </row>
    <row r="15" spans="1:7" x14ac:dyDescent="0.3">
      <c r="A15">
        <v>44146</v>
      </c>
      <c r="B15">
        <v>476.65</v>
      </c>
      <c r="C15">
        <v>449.95</v>
      </c>
      <c r="D15">
        <v>450.86</v>
      </c>
      <c r="E15">
        <v>463.91</v>
      </c>
      <c r="F15">
        <v>-2.8944683493767442E-2</v>
      </c>
      <c r="G15">
        <v>-2.8944683493767442E-2</v>
      </c>
    </row>
    <row r="16" spans="1:7" x14ac:dyDescent="0.3">
      <c r="A16">
        <v>44147</v>
      </c>
      <c r="B16">
        <v>470.4</v>
      </c>
      <c r="C16">
        <v>452.69</v>
      </c>
      <c r="D16">
        <v>463.91</v>
      </c>
      <c r="E16">
        <v>462.78</v>
      </c>
      <c r="F16">
        <v>2.4358172921472576E-3</v>
      </c>
      <c r="G16">
        <v>2.4358172921472576E-3</v>
      </c>
    </row>
    <row r="17" spans="1:7" x14ac:dyDescent="0.3">
      <c r="A17">
        <v>44148</v>
      </c>
      <c r="B17">
        <v>477.97</v>
      </c>
      <c r="C17">
        <v>458.1</v>
      </c>
      <c r="D17">
        <v>462.78</v>
      </c>
      <c r="E17">
        <v>476.87</v>
      </c>
      <c r="F17">
        <v>-3.0446432430096371E-2</v>
      </c>
      <c r="G17">
        <v>-3.0446432430096371E-2</v>
      </c>
    </row>
    <row r="18" spans="1:7" x14ac:dyDescent="0.3">
      <c r="A18">
        <v>44149</v>
      </c>
      <c r="B18">
        <v>477.76</v>
      </c>
      <c r="C18">
        <v>452.26</v>
      </c>
      <c r="D18">
        <v>476.87</v>
      </c>
      <c r="E18">
        <v>461.03</v>
      </c>
      <c r="F18">
        <v>3.3216599911925715E-2</v>
      </c>
      <c r="G18">
        <v>3.3216599911925715E-2</v>
      </c>
    </row>
    <row r="19" spans="1:7" x14ac:dyDescent="0.3">
      <c r="A19">
        <v>44150</v>
      </c>
      <c r="B19">
        <v>463.02</v>
      </c>
      <c r="C19">
        <v>440.46</v>
      </c>
      <c r="D19">
        <v>461.03</v>
      </c>
      <c r="E19">
        <v>448.51</v>
      </c>
      <c r="F19">
        <v>2.7156584170227482E-2</v>
      </c>
      <c r="G19">
        <v>2.7156584170227482E-2</v>
      </c>
    </row>
    <row r="20" spans="1:7" x14ac:dyDescent="0.3">
      <c r="A20">
        <v>44151</v>
      </c>
      <c r="B20">
        <v>471.55</v>
      </c>
      <c r="C20">
        <v>458.84</v>
      </c>
      <c r="D20">
        <v>448.45</v>
      </c>
      <c r="E20">
        <v>461.01</v>
      </c>
      <c r="F20">
        <v>-2.7870058638603368E-2</v>
      </c>
      <c r="G20">
        <v>-2.7870058638603368E-2</v>
      </c>
    </row>
    <row r="21" spans="1:7" x14ac:dyDescent="0.3">
      <c r="A21">
        <v>44152</v>
      </c>
      <c r="B21">
        <v>495.61</v>
      </c>
      <c r="C21">
        <v>475.46</v>
      </c>
      <c r="D21">
        <v>461.01</v>
      </c>
      <c r="E21">
        <v>482.71</v>
      </c>
      <c r="F21">
        <v>-4.7070562460684195E-2</v>
      </c>
      <c r="G21">
        <v>-4.7070562460684195E-2</v>
      </c>
    </row>
    <row r="22" spans="1:7" x14ac:dyDescent="0.3">
      <c r="A22">
        <v>44153</v>
      </c>
      <c r="B22">
        <v>495.03</v>
      </c>
      <c r="C22">
        <v>458.58</v>
      </c>
      <c r="D22">
        <v>482.73</v>
      </c>
      <c r="E22">
        <v>478.76</v>
      </c>
      <c r="F22">
        <v>8.1829669988191522E-3</v>
      </c>
      <c r="G22">
        <v>8.1829669988191522E-3</v>
      </c>
    </row>
    <row r="23" spans="1:7" x14ac:dyDescent="0.3">
      <c r="A23">
        <v>44154</v>
      </c>
      <c r="B23">
        <v>482.16</v>
      </c>
      <c r="C23">
        <v>468.97</v>
      </c>
      <c r="D23">
        <v>478.81</v>
      </c>
      <c r="E23">
        <v>471.82</v>
      </c>
      <c r="F23">
        <v>1.4495780766981325E-2</v>
      </c>
      <c r="G23">
        <v>1.4495780766981325E-2</v>
      </c>
    </row>
    <row r="24" spans="1:7" x14ac:dyDescent="0.3">
      <c r="A24">
        <v>44155</v>
      </c>
      <c r="B24">
        <v>514.38</v>
      </c>
      <c r="C24">
        <v>471.19</v>
      </c>
      <c r="D24">
        <v>471.89</v>
      </c>
      <c r="E24">
        <v>510.43</v>
      </c>
      <c r="F24">
        <v>-8.1832054597092085E-2</v>
      </c>
      <c r="G24">
        <v>-8.1832054597092085E-2</v>
      </c>
    </row>
    <row r="25" spans="1:7" x14ac:dyDescent="0.3">
      <c r="A25">
        <v>44156</v>
      </c>
      <c r="B25">
        <v>553.11</v>
      </c>
      <c r="C25">
        <v>503.09</v>
      </c>
      <c r="D25">
        <v>510.43</v>
      </c>
      <c r="E25">
        <v>552.26</v>
      </c>
      <c r="F25">
        <v>-8.195051231314765E-2</v>
      </c>
      <c r="G25">
        <v>-8.195051231314765E-2</v>
      </c>
    </row>
    <row r="26" spans="1:7" x14ac:dyDescent="0.3">
      <c r="A26">
        <v>44157</v>
      </c>
      <c r="B26">
        <v>581.04999999999995</v>
      </c>
      <c r="C26">
        <v>513.33000000000004</v>
      </c>
      <c r="D26">
        <v>552.26</v>
      </c>
      <c r="E26">
        <v>560.01</v>
      </c>
      <c r="F26">
        <v>-1.4033245210589129E-2</v>
      </c>
      <c r="G26">
        <v>-1.4033245210589129E-2</v>
      </c>
    </row>
    <row r="27" spans="1:7" x14ac:dyDescent="0.3">
      <c r="A27">
        <v>44158</v>
      </c>
      <c r="B27">
        <v>610.75</v>
      </c>
      <c r="C27">
        <v>550.30999999999995</v>
      </c>
      <c r="D27">
        <v>560.01</v>
      </c>
      <c r="E27">
        <v>609.13</v>
      </c>
      <c r="F27">
        <v>-8.7712719415724782E-2</v>
      </c>
      <c r="G27">
        <v>-8.7712719415724782E-2</v>
      </c>
    </row>
    <row r="28" spans="1:7" x14ac:dyDescent="0.3">
      <c r="A28">
        <v>44159</v>
      </c>
      <c r="B28">
        <v>645.6</v>
      </c>
      <c r="C28">
        <v>590.23</v>
      </c>
      <c r="D28">
        <v>609.12</v>
      </c>
      <c r="E28">
        <v>604.98</v>
      </c>
      <c r="F28">
        <v>6.8129955838654999E-3</v>
      </c>
      <c r="G28">
        <v>6.8129955838654999E-3</v>
      </c>
    </row>
    <row r="29" spans="1:7" x14ac:dyDescent="0.3">
      <c r="A29">
        <v>44160</v>
      </c>
      <c r="B29">
        <v>606.1</v>
      </c>
      <c r="C29">
        <v>554.91999999999996</v>
      </c>
      <c r="D29">
        <v>605.04999999999995</v>
      </c>
      <c r="E29">
        <v>569.4</v>
      </c>
      <c r="F29">
        <v>5.8811861549142197E-2</v>
      </c>
      <c r="G29">
        <v>5.8811861549142197E-2</v>
      </c>
    </row>
    <row r="30" spans="1:7" x14ac:dyDescent="0.3">
      <c r="A30">
        <v>44161</v>
      </c>
      <c r="B30">
        <v>576.94000000000005</v>
      </c>
      <c r="C30">
        <v>482.39</v>
      </c>
      <c r="D30">
        <v>569.4</v>
      </c>
      <c r="E30">
        <v>520.22</v>
      </c>
      <c r="F30">
        <v>8.6371619248331477E-2</v>
      </c>
      <c r="G30">
        <v>8.6371619248331477E-2</v>
      </c>
    </row>
    <row r="31" spans="1:7" x14ac:dyDescent="0.3">
      <c r="A31">
        <v>44162</v>
      </c>
      <c r="B31">
        <v>531.01</v>
      </c>
      <c r="C31">
        <v>494.78</v>
      </c>
      <c r="D31">
        <v>520.22</v>
      </c>
      <c r="E31">
        <v>518.83000000000004</v>
      </c>
      <c r="F31">
        <v>2.671946484179788E-3</v>
      </c>
      <c r="G31">
        <v>2.671946484179788E-3</v>
      </c>
    </row>
    <row r="32" spans="1:7" x14ac:dyDescent="0.3">
      <c r="A32">
        <v>44163</v>
      </c>
      <c r="B32">
        <v>545.65</v>
      </c>
      <c r="C32">
        <v>507.33</v>
      </c>
      <c r="D32">
        <v>518.83000000000004</v>
      </c>
      <c r="E32">
        <v>544.63</v>
      </c>
      <c r="F32">
        <v>-4.9727270975078453E-2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80D00-7B28-481B-83B2-33D754C4EA32}">
  <sheetPr codeName="Sheet20">
    <tabColor rgb="FFC6E0B4"/>
  </sheetPr>
  <dimension ref="A1:G99"/>
  <sheetViews>
    <sheetView workbookViewId="0">
      <selection activeCell="F5" sqref="F5"/>
    </sheetView>
  </sheetViews>
  <sheetFormatPr defaultRowHeight="14.4" x14ac:dyDescent="0.3"/>
  <cols>
    <col min="1" max="1" width="8.88671875" style="3"/>
    <col min="2" max="5" width="8.88671875" style="4"/>
    <col min="6" max="6" width="8.88671875" style="5"/>
    <col min="7" max="7" width="8.886718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33.64</v>
      </c>
      <c r="C2">
        <v>28.35</v>
      </c>
      <c r="D2">
        <v>32.44</v>
      </c>
      <c r="E2">
        <v>29.12</v>
      </c>
      <c r="F2"/>
      <c r="G2"/>
    </row>
    <row r="3" spans="1:7" x14ac:dyDescent="0.3">
      <c r="A3">
        <v>44134</v>
      </c>
      <c r="B3">
        <v>32.1</v>
      </c>
      <c r="C3">
        <v>27.84</v>
      </c>
      <c r="D3">
        <v>29.12</v>
      </c>
      <c r="E3">
        <v>31.15</v>
      </c>
      <c r="F3">
        <v>-6.9711538461538325E-2</v>
      </c>
      <c r="G3">
        <v>1.2334210662125256E-2</v>
      </c>
    </row>
    <row r="4" spans="1:7" x14ac:dyDescent="0.3">
      <c r="A4">
        <v>44135</v>
      </c>
      <c r="B4">
        <v>33.29</v>
      </c>
      <c r="C4">
        <v>29.51</v>
      </c>
      <c r="D4">
        <v>31.15</v>
      </c>
      <c r="E4">
        <v>29.75</v>
      </c>
      <c r="F4">
        <v>4.49438202247191E-2</v>
      </c>
      <c r="G4">
        <v>-1.0476538823283477E-2</v>
      </c>
    </row>
    <row r="5" spans="1:7" x14ac:dyDescent="0.3">
      <c r="A5">
        <v>44136</v>
      </c>
      <c r="B5">
        <v>31.07</v>
      </c>
      <c r="C5">
        <v>28.5</v>
      </c>
      <c r="D5">
        <v>29.75</v>
      </c>
      <c r="E5">
        <v>30.78</v>
      </c>
      <c r="F5">
        <v>-3.4621848739495809E-2</v>
      </c>
      <c r="G5">
        <v>-2.5803449078263707E-2</v>
      </c>
    </row>
    <row r="6" spans="1:7" x14ac:dyDescent="0.3">
      <c r="A6">
        <v>44137</v>
      </c>
      <c r="B6">
        <v>34.06</v>
      </c>
      <c r="C6">
        <v>29.21</v>
      </c>
      <c r="D6">
        <v>30.78</v>
      </c>
      <c r="E6">
        <v>29.78</v>
      </c>
      <c r="F6">
        <v>3.2488628979857048E-2</v>
      </c>
      <c r="G6">
        <v>3.3119092627599156E-2</v>
      </c>
    </row>
    <row r="7" spans="1:7" x14ac:dyDescent="0.3">
      <c r="A7">
        <v>44138</v>
      </c>
      <c r="B7">
        <v>31.02</v>
      </c>
      <c r="C7">
        <v>27.84</v>
      </c>
      <c r="D7">
        <v>29.78</v>
      </c>
      <c r="E7">
        <v>28.16</v>
      </c>
      <c r="F7">
        <v>5.4398925453324365E-2</v>
      </c>
      <c r="G7">
        <v>-1.191314095044449E-2</v>
      </c>
    </row>
    <row r="8" spans="1:7" x14ac:dyDescent="0.3">
      <c r="A8">
        <v>44139</v>
      </c>
      <c r="B8">
        <v>28.91</v>
      </c>
      <c r="C8">
        <v>26.55</v>
      </c>
      <c r="D8">
        <v>28.16</v>
      </c>
      <c r="E8">
        <v>27.71</v>
      </c>
      <c r="F8">
        <v>1.5980113636363646E-2</v>
      </c>
      <c r="G8">
        <v>-3.730228244628786E-2</v>
      </c>
    </row>
    <row r="9" spans="1:7" x14ac:dyDescent="0.3">
      <c r="A9">
        <v>44140</v>
      </c>
      <c r="B9">
        <v>33.18</v>
      </c>
      <c r="C9">
        <v>27.27</v>
      </c>
      <c r="D9">
        <v>27.71</v>
      </c>
      <c r="E9">
        <v>31.11</v>
      </c>
      <c r="F9">
        <v>-0.12269938650306744</v>
      </c>
      <c r="G9">
        <v>-3.5339989072666667E-2</v>
      </c>
    </row>
    <row r="10" spans="1:7" x14ac:dyDescent="0.3">
      <c r="A10">
        <v>44141</v>
      </c>
      <c r="B10">
        <v>40.82</v>
      </c>
      <c r="C10">
        <v>31.04</v>
      </c>
      <c r="D10">
        <v>31.11</v>
      </c>
      <c r="E10">
        <v>38.57</v>
      </c>
      <c r="F10">
        <v>-0.23979427836708456</v>
      </c>
      <c r="G10">
        <v>-9.4581304420830348E-2</v>
      </c>
    </row>
    <row r="11" spans="1:7" x14ac:dyDescent="0.3">
      <c r="A11">
        <v>44142</v>
      </c>
      <c r="B11">
        <v>49.51</v>
      </c>
      <c r="C11">
        <v>36.67</v>
      </c>
      <c r="D11">
        <v>38.57</v>
      </c>
      <c r="E11">
        <v>44.65</v>
      </c>
      <c r="F11">
        <v>-0.1576354679802956</v>
      </c>
      <c r="G11">
        <v>4.4924614305750343E-2</v>
      </c>
    </row>
    <row r="12" spans="1:7" x14ac:dyDescent="0.3">
      <c r="A12">
        <v>44143</v>
      </c>
      <c r="B12">
        <v>54.86</v>
      </c>
      <c r="C12">
        <v>44.93</v>
      </c>
      <c r="D12">
        <v>44.65</v>
      </c>
      <c r="E12">
        <v>53.95</v>
      </c>
      <c r="F12">
        <v>-0.20828667413213897</v>
      </c>
      <c r="G12">
        <v>-4.3412417970721817E-2</v>
      </c>
    </row>
    <row r="13" spans="1:7" x14ac:dyDescent="0.3">
      <c r="A13">
        <v>44144</v>
      </c>
      <c r="B13">
        <v>58.26</v>
      </c>
      <c r="C13">
        <v>49.95</v>
      </c>
      <c r="D13">
        <v>53.95</v>
      </c>
      <c r="E13">
        <v>55.07</v>
      </c>
      <c r="F13">
        <v>-2.0759962928637687E-2</v>
      </c>
      <c r="G13">
        <v>2.2628315081145267E-2</v>
      </c>
    </row>
    <row r="14" spans="1:7" x14ac:dyDescent="0.3">
      <c r="A14">
        <v>44145</v>
      </c>
      <c r="B14">
        <v>70.66</v>
      </c>
      <c r="C14">
        <v>53.31</v>
      </c>
      <c r="D14">
        <v>55.07</v>
      </c>
      <c r="E14">
        <v>67.12</v>
      </c>
      <c r="F14">
        <v>-0.21881242055565653</v>
      </c>
      <c r="G14">
        <v>-1.4422319721003607E-2</v>
      </c>
    </row>
    <row r="15" spans="1:7" x14ac:dyDescent="0.3">
      <c r="A15">
        <v>44146</v>
      </c>
      <c r="B15">
        <v>70.89</v>
      </c>
      <c r="C15">
        <v>53.15</v>
      </c>
      <c r="D15">
        <v>67.12</v>
      </c>
      <c r="E15">
        <v>54.61</v>
      </c>
      <c r="F15">
        <v>0.18638259833134696</v>
      </c>
      <c r="G15">
        <v>-2.8944683493767442E-2</v>
      </c>
    </row>
    <row r="16" spans="1:7" x14ac:dyDescent="0.3">
      <c r="A16">
        <v>44147</v>
      </c>
      <c r="B16">
        <v>61.64</v>
      </c>
      <c r="C16">
        <v>50.89</v>
      </c>
      <c r="D16">
        <v>54.61</v>
      </c>
      <c r="E16">
        <v>51.87</v>
      </c>
      <c r="F16">
        <v>5.0173960813037932E-2</v>
      </c>
      <c r="G16">
        <v>2.4358172921472576E-3</v>
      </c>
    </row>
    <row r="17" spans="1:7" x14ac:dyDescent="0.3">
      <c r="A17">
        <v>44148</v>
      </c>
      <c r="B17">
        <v>67.91</v>
      </c>
      <c r="C17">
        <v>51.19</v>
      </c>
      <c r="D17">
        <v>51.87</v>
      </c>
      <c r="E17">
        <v>63.57</v>
      </c>
      <c r="F17">
        <v>-0.22556390977443619</v>
      </c>
      <c r="G17">
        <v>-3.0446432430096371E-2</v>
      </c>
    </row>
    <row r="18" spans="1:7" x14ac:dyDescent="0.3">
      <c r="A18">
        <v>44149</v>
      </c>
      <c r="B18">
        <v>69.61</v>
      </c>
      <c r="C18">
        <v>56.76</v>
      </c>
      <c r="D18">
        <v>63.57</v>
      </c>
      <c r="E18">
        <v>66.760000000000005</v>
      </c>
      <c r="F18">
        <v>-5.0180902941639127E-2</v>
      </c>
      <c r="G18">
        <v>3.3216599911925715E-2</v>
      </c>
    </row>
    <row r="19" spans="1:7" x14ac:dyDescent="0.3">
      <c r="A19">
        <v>44150</v>
      </c>
      <c r="B19">
        <v>70.709999999999994</v>
      </c>
      <c r="C19">
        <v>60.11</v>
      </c>
      <c r="D19">
        <v>66.760000000000005</v>
      </c>
      <c r="E19">
        <v>64.239999999999995</v>
      </c>
      <c r="F19">
        <v>3.7747153984421966E-2</v>
      </c>
      <c r="G19">
        <v>2.7156584170227482E-2</v>
      </c>
    </row>
    <row r="20" spans="1:7" x14ac:dyDescent="0.3">
      <c r="A20">
        <v>44151</v>
      </c>
      <c r="B20">
        <v>74.510000000000005</v>
      </c>
      <c r="C20">
        <v>63.91</v>
      </c>
      <c r="D20">
        <v>64.239999999999995</v>
      </c>
      <c r="E20">
        <v>73.02</v>
      </c>
      <c r="F20">
        <v>-0.13667496886674968</v>
      </c>
      <c r="G20">
        <v>-2.7870058638603368E-2</v>
      </c>
    </row>
    <row r="21" spans="1:7" x14ac:dyDescent="0.3">
      <c r="A21">
        <v>44152</v>
      </c>
      <c r="B21">
        <v>80.650000000000006</v>
      </c>
      <c r="C21">
        <v>70.14</v>
      </c>
      <c r="D21">
        <v>73.02</v>
      </c>
      <c r="E21">
        <v>79.23</v>
      </c>
      <c r="F21">
        <v>-8.504519309778158E-2</v>
      </c>
      <c r="G21">
        <v>-4.7070562460684195E-2</v>
      </c>
    </row>
    <row r="22" spans="1:7" x14ac:dyDescent="0.3">
      <c r="A22">
        <v>44153</v>
      </c>
      <c r="B22">
        <v>80.52</v>
      </c>
      <c r="C22">
        <v>68.69</v>
      </c>
      <c r="D22">
        <v>79.23</v>
      </c>
      <c r="E22">
        <v>75.150000000000006</v>
      </c>
      <c r="F22">
        <v>5.1495645588792049E-2</v>
      </c>
      <c r="G22">
        <v>8.1829669988191522E-3</v>
      </c>
    </row>
    <row r="23" spans="1:7" x14ac:dyDescent="0.3">
      <c r="A23">
        <v>44154</v>
      </c>
      <c r="B23">
        <v>80.59</v>
      </c>
      <c r="C23">
        <v>71.62</v>
      </c>
      <c r="D23">
        <v>75.150000000000006</v>
      </c>
      <c r="E23">
        <v>76.36</v>
      </c>
      <c r="F23">
        <v>-1.6101131071190933E-2</v>
      </c>
      <c r="G23">
        <v>1.4495780766981325E-2</v>
      </c>
    </row>
    <row r="24" spans="1:7" x14ac:dyDescent="0.3">
      <c r="A24">
        <v>44155</v>
      </c>
      <c r="B24">
        <v>83.93</v>
      </c>
      <c r="C24">
        <v>73.22</v>
      </c>
      <c r="D24">
        <v>76.36</v>
      </c>
      <c r="E24">
        <v>75.099999999999994</v>
      </c>
      <c r="F24">
        <v>1.6500785751702551E-2</v>
      </c>
      <c r="G24">
        <v>-8.1832054597092085E-2</v>
      </c>
    </row>
    <row r="25" spans="1:7" x14ac:dyDescent="0.3">
      <c r="A25">
        <v>44156</v>
      </c>
      <c r="B25">
        <v>76.989999999999995</v>
      </c>
      <c r="C25">
        <v>68.2</v>
      </c>
      <c r="D25">
        <v>75.099999999999994</v>
      </c>
      <c r="E25">
        <v>70.38</v>
      </c>
      <c r="F25">
        <v>6.2849533954727033E-2</v>
      </c>
      <c r="G25">
        <v>-8.195051231314765E-2</v>
      </c>
    </row>
    <row r="26" spans="1:7" x14ac:dyDescent="0.3">
      <c r="A26">
        <v>44157</v>
      </c>
      <c r="B26">
        <v>74.2</v>
      </c>
      <c r="C26">
        <v>63.42</v>
      </c>
      <c r="D26">
        <v>70.38</v>
      </c>
      <c r="E26">
        <v>68.88</v>
      </c>
      <c r="F26">
        <v>2.1312872975277064E-2</v>
      </c>
      <c r="G26">
        <v>-1.4033245210589129E-2</v>
      </c>
    </row>
    <row r="27" spans="1:7" x14ac:dyDescent="0.3">
      <c r="A27">
        <v>44158</v>
      </c>
      <c r="B27">
        <v>73.97</v>
      </c>
      <c r="C27">
        <v>66.67</v>
      </c>
      <c r="D27">
        <v>68.88</v>
      </c>
      <c r="E27">
        <v>72.349999999999994</v>
      </c>
      <c r="F27">
        <v>-5.0377468060394781E-2</v>
      </c>
      <c r="G27">
        <v>-8.7712719415724782E-2</v>
      </c>
    </row>
    <row r="28" spans="1:7" x14ac:dyDescent="0.3">
      <c r="A28">
        <v>44159</v>
      </c>
      <c r="B28">
        <v>80.12</v>
      </c>
      <c r="C28">
        <v>66.34</v>
      </c>
      <c r="D28">
        <v>72.349999999999994</v>
      </c>
      <c r="E28">
        <v>66.8</v>
      </c>
      <c r="F28">
        <v>7.6710435383552156E-2</v>
      </c>
      <c r="G28">
        <v>6.8129955838654999E-3</v>
      </c>
    </row>
    <row r="29" spans="1:7" x14ac:dyDescent="0.3">
      <c r="A29">
        <v>44160</v>
      </c>
      <c r="B29">
        <v>65.599999999999994</v>
      </c>
      <c r="C29">
        <v>59.6</v>
      </c>
      <c r="D29">
        <v>66.8</v>
      </c>
      <c r="E29">
        <v>61.8</v>
      </c>
      <c r="F29">
        <v>7.4850299401197584E-2</v>
      </c>
      <c r="G29">
        <v>5.8811861549142197E-2</v>
      </c>
    </row>
    <row r="30" spans="1:7" x14ac:dyDescent="0.3">
      <c r="A30">
        <v>44161</v>
      </c>
      <c r="B30">
        <v>64.77</v>
      </c>
      <c r="C30">
        <v>48.73</v>
      </c>
      <c r="D30">
        <v>61.8</v>
      </c>
      <c r="E30">
        <v>64.39</v>
      </c>
      <c r="F30">
        <v>-4.1909385113268582E-2</v>
      </c>
      <c r="G30">
        <v>8.6371619248331477E-2</v>
      </c>
    </row>
    <row r="31" spans="1:7" x14ac:dyDescent="0.3">
      <c r="A31">
        <v>44162</v>
      </c>
      <c r="B31">
        <v>68.52</v>
      </c>
      <c r="C31">
        <v>58.58</v>
      </c>
      <c r="D31">
        <v>64.39</v>
      </c>
      <c r="E31">
        <v>60.88</v>
      </c>
      <c r="F31">
        <v>5.4511570119583741E-2</v>
      </c>
      <c r="G31">
        <v>2.671946484179788E-3</v>
      </c>
    </row>
    <row r="32" spans="1:7" x14ac:dyDescent="0.3">
      <c r="A32">
        <v>44163</v>
      </c>
      <c r="B32">
        <v>67.17</v>
      </c>
      <c r="C32">
        <v>60.88</v>
      </c>
      <c r="D32">
        <v>60.88</v>
      </c>
      <c r="E32">
        <v>64.89</v>
      </c>
      <c r="F32">
        <v>-6.5867279894875175E-2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E3C60-5EC6-4DE7-A632-A3D0128C829D}">
  <sheetPr codeName="Sheet21">
    <tabColor rgb="FFC6E0B4"/>
  </sheetPr>
  <dimension ref="A1:G99"/>
  <sheetViews>
    <sheetView workbookViewId="0"/>
  </sheetViews>
  <sheetFormatPr defaultRowHeight="14.4" x14ac:dyDescent="0.3"/>
  <cols>
    <col min="1" max="1" width="8.88671875" style="3"/>
    <col min="2" max="5" width="8.88671875" style="4"/>
    <col min="6" max="6" width="8.88671875" style="5"/>
    <col min="7" max="7" width="8.886718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13513.52</v>
      </c>
      <c r="C2">
        <v>13056.22</v>
      </c>
      <c r="D2">
        <v>13245.39</v>
      </c>
      <c r="E2">
        <v>13436.01</v>
      </c>
      <c r="F2"/>
      <c r="G2"/>
    </row>
    <row r="3" spans="1:7" x14ac:dyDescent="0.3">
      <c r="A3">
        <v>44134</v>
      </c>
      <c r="B3">
        <v>13633.78</v>
      </c>
      <c r="C3">
        <v>13500.83</v>
      </c>
      <c r="D3">
        <v>13435.26</v>
      </c>
      <c r="E3">
        <v>13548.31</v>
      </c>
      <c r="F3">
        <v>-8.3581360835545127E-3</v>
      </c>
      <c r="G3">
        <v>1.2334210662125256E-2</v>
      </c>
    </row>
    <row r="4" spans="1:7" x14ac:dyDescent="0.3">
      <c r="A4">
        <v>44135</v>
      </c>
      <c r="B4">
        <v>13799.6</v>
      </c>
      <c r="C4">
        <v>13548.2</v>
      </c>
      <c r="D4">
        <v>13538.22</v>
      </c>
      <c r="E4">
        <v>13749.32</v>
      </c>
      <c r="F4">
        <v>-1.4836536807911749E-2</v>
      </c>
      <c r="G4">
        <v>-1.0476538823283477E-2</v>
      </c>
    </row>
    <row r="5" spans="1:7" x14ac:dyDescent="0.3">
      <c r="A5">
        <v>44136</v>
      </c>
      <c r="B5">
        <v>14119.01</v>
      </c>
      <c r="C5">
        <v>13698.73</v>
      </c>
      <c r="D5">
        <v>13749.32</v>
      </c>
      <c r="E5">
        <v>13734.41</v>
      </c>
      <c r="F5">
        <v>1.0844172657266116E-3</v>
      </c>
      <c r="G5">
        <v>-2.5803449078263707E-2</v>
      </c>
    </row>
    <row r="6" spans="1:7" x14ac:dyDescent="0.3">
      <c r="A6">
        <v>44137</v>
      </c>
      <c r="B6">
        <v>13584.81</v>
      </c>
      <c r="C6">
        <v>13522.38</v>
      </c>
      <c r="D6">
        <v>13775.48</v>
      </c>
      <c r="E6">
        <v>13571.24</v>
      </c>
      <c r="F6">
        <v>1.1880379280944764E-2</v>
      </c>
      <c r="G6">
        <v>3.3119092627599156E-2</v>
      </c>
    </row>
    <row r="7" spans="1:7" x14ac:dyDescent="0.3">
      <c r="A7">
        <v>44138</v>
      </c>
      <c r="B7">
        <v>14107.92</v>
      </c>
      <c r="C7">
        <v>13938.23</v>
      </c>
      <c r="D7">
        <v>13571.24</v>
      </c>
      <c r="E7">
        <v>14022.38</v>
      </c>
      <c r="F7">
        <v>-3.3242356630639458E-2</v>
      </c>
      <c r="G7">
        <v>-1.191314095044449E-2</v>
      </c>
    </row>
    <row r="8" spans="1:7" x14ac:dyDescent="0.3">
      <c r="A8">
        <v>44139</v>
      </c>
      <c r="B8">
        <v>14186.05</v>
      </c>
      <c r="C8">
        <v>14057.21</v>
      </c>
      <c r="D8">
        <v>14022.38</v>
      </c>
      <c r="E8">
        <v>14143.57</v>
      </c>
      <c r="F8">
        <v>-8.6426127376380002E-3</v>
      </c>
      <c r="G8">
        <v>-3.730228244628786E-2</v>
      </c>
    </row>
    <row r="9" spans="1:7" x14ac:dyDescent="0.3">
      <c r="A9">
        <v>44140</v>
      </c>
      <c r="B9">
        <v>15615.52</v>
      </c>
      <c r="C9">
        <v>15481.36</v>
      </c>
      <c r="D9">
        <v>14143.57</v>
      </c>
      <c r="E9">
        <v>15581.2</v>
      </c>
      <c r="F9">
        <v>-0.10164548271758833</v>
      </c>
      <c r="G9">
        <v>-3.5339989072666667E-2</v>
      </c>
    </row>
    <row r="10" spans="1:7" x14ac:dyDescent="0.3">
      <c r="A10">
        <v>44141</v>
      </c>
      <c r="B10">
        <v>15606.21</v>
      </c>
      <c r="C10">
        <v>15537.61</v>
      </c>
      <c r="D10">
        <v>15581.2</v>
      </c>
      <c r="E10">
        <v>15575.03</v>
      </c>
      <c r="F10">
        <v>3.9599003927814902E-4</v>
      </c>
      <c r="G10">
        <v>-9.4581304420830348E-2</v>
      </c>
    </row>
    <row r="11" spans="1:7" x14ac:dyDescent="0.3">
      <c r="A11">
        <v>44142</v>
      </c>
      <c r="B11">
        <v>15541.34</v>
      </c>
      <c r="C11">
        <v>14525.88</v>
      </c>
      <c r="D11">
        <v>15565.08</v>
      </c>
      <c r="E11">
        <v>14791.73</v>
      </c>
      <c r="F11">
        <v>5.0292037960761649E-2</v>
      </c>
      <c r="G11">
        <v>4.4924614305750343E-2</v>
      </c>
    </row>
    <row r="12" spans="1:7" x14ac:dyDescent="0.3">
      <c r="A12">
        <v>44143</v>
      </c>
      <c r="B12">
        <v>15570.3</v>
      </c>
      <c r="C12">
        <v>15279.26</v>
      </c>
      <c r="D12">
        <v>14791.73</v>
      </c>
      <c r="E12">
        <v>15415.69</v>
      </c>
      <c r="F12">
        <v>-4.2183030652939157E-2</v>
      </c>
      <c r="G12">
        <v>-4.3412417970721817E-2</v>
      </c>
    </row>
    <row r="13" spans="1:7" x14ac:dyDescent="0.3">
      <c r="A13">
        <v>44144</v>
      </c>
      <c r="B13">
        <v>15311.3</v>
      </c>
      <c r="C13">
        <v>15017.97</v>
      </c>
      <c r="D13">
        <v>15415.69</v>
      </c>
      <c r="E13">
        <v>15297.97</v>
      </c>
      <c r="F13">
        <v>7.636375666609907E-3</v>
      </c>
      <c r="G13">
        <v>2.2628315081145267E-2</v>
      </c>
    </row>
    <row r="14" spans="1:7" x14ac:dyDescent="0.3">
      <c r="A14">
        <v>44145</v>
      </c>
      <c r="B14">
        <v>15586.23</v>
      </c>
      <c r="C14">
        <v>15198.49</v>
      </c>
      <c r="D14">
        <v>15297.97</v>
      </c>
      <c r="E14">
        <v>15261.61</v>
      </c>
      <c r="F14">
        <v>2.3767859395722457E-3</v>
      </c>
      <c r="G14">
        <v>-1.4422319721003607E-2</v>
      </c>
    </row>
    <row r="15" spans="1:7" x14ac:dyDescent="0.3">
      <c r="A15">
        <v>44146</v>
      </c>
      <c r="B15">
        <v>15749.74</v>
      </c>
      <c r="C15">
        <v>15313.67</v>
      </c>
      <c r="D15">
        <v>15261.61</v>
      </c>
      <c r="E15">
        <v>15652.32</v>
      </c>
      <c r="F15">
        <v>-2.5600837657363762E-2</v>
      </c>
      <c r="G15">
        <v>-2.8944683493767442E-2</v>
      </c>
    </row>
    <row r="16" spans="1:7" x14ac:dyDescent="0.3">
      <c r="A16">
        <v>44147</v>
      </c>
      <c r="B16">
        <v>16470.34</v>
      </c>
      <c r="C16">
        <v>15595.69</v>
      </c>
      <c r="D16">
        <v>15652.32</v>
      </c>
      <c r="E16">
        <v>16271.34</v>
      </c>
      <c r="F16">
        <v>-3.9548130884111687E-2</v>
      </c>
      <c r="G16">
        <v>2.4358172921472576E-3</v>
      </c>
    </row>
    <row r="17" spans="1:7" x14ac:dyDescent="0.3">
      <c r="A17">
        <v>44148</v>
      </c>
      <c r="B17">
        <v>17005.18</v>
      </c>
      <c r="C17">
        <v>16266.04</v>
      </c>
      <c r="D17">
        <v>16271.34</v>
      </c>
      <c r="E17">
        <v>16304.19</v>
      </c>
      <c r="F17">
        <v>-2.0188871967521393E-3</v>
      </c>
      <c r="G17">
        <v>-3.0446432430096371E-2</v>
      </c>
    </row>
    <row r="18" spans="1:7" x14ac:dyDescent="0.3">
      <c r="A18">
        <v>44149</v>
      </c>
      <c r="B18">
        <v>16066.9</v>
      </c>
      <c r="C18">
        <v>15734.95</v>
      </c>
      <c r="D18">
        <v>16304.19</v>
      </c>
      <c r="E18">
        <v>16066.9</v>
      </c>
      <c r="F18">
        <v>1.4553927548685341E-2</v>
      </c>
      <c r="G18">
        <v>3.3216599911925715E-2</v>
      </c>
    </row>
    <row r="19" spans="1:7" x14ac:dyDescent="0.3">
      <c r="A19">
        <v>44150</v>
      </c>
      <c r="B19">
        <v>16092.54</v>
      </c>
      <c r="C19">
        <v>15513.96</v>
      </c>
      <c r="D19">
        <v>16066.9</v>
      </c>
      <c r="E19">
        <v>15949.02</v>
      </c>
      <c r="F19">
        <v>7.3368229092107828E-3</v>
      </c>
      <c r="G19">
        <v>2.7156584170227482E-2</v>
      </c>
    </row>
    <row r="20" spans="1:7" x14ac:dyDescent="0.3">
      <c r="A20">
        <v>44151</v>
      </c>
      <c r="B20">
        <v>16775.78</v>
      </c>
      <c r="C20">
        <v>16319.77</v>
      </c>
      <c r="D20">
        <v>15949.02</v>
      </c>
      <c r="E20">
        <v>16715.900000000001</v>
      </c>
      <c r="F20">
        <v>-4.8083205112289029E-2</v>
      </c>
      <c r="G20">
        <v>-2.7870058638603368E-2</v>
      </c>
    </row>
    <row r="21" spans="1:7" x14ac:dyDescent="0.3">
      <c r="A21">
        <v>44152</v>
      </c>
      <c r="B21">
        <v>17681.54</v>
      </c>
      <c r="C21">
        <v>17647.95</v>
      </c>
      <c r="D21">
        <v>16706.41</v>
      </c>
      <c r="E21">
        <v>17681.54</v>
      </c>
      <c r="F21">
        <v>-5.7767754054522946E-2</v>
      </c>
      <c r="G21">
        <v>-4.7070562460684195E-2</v>
      </c>
    </row>
    <row r="22" spans="1:7" x14ac:dyDescent="0.3">
      <c r="A22">
        <v>44153</v>
      </c>
      <c r="B22">
        <v>18192.88</v>
      </c>
      <c r="C22">
        <v>17350.259999999998</v>
      </c>
      <c r="D22">
        <v>17658.259999999998</v>
      </c>
      <c r="E22">
        <v>17766.78</v>
      </c>
      <c r="F22">
        <v>-4.8208470529149672E-3</v>
      </c>
      <c r="G22">
        <v>8.1829669988191522E-3</v>
      </c>
    </row>
    <row r="23" spans="1:7" x14ac:dyDescent="0.3">
      <c r="A23">
        <v>44154</v>
      </c>
      <c r="B23">
        <v>17927.099999999999</v>
      </c>
      <c r="C23">
        <v>17389.150000000001</v>
      </c>
      <c r="D23">
        <v>17766.78</v>
      </c>
      <c r="E23">
        <v>17794.97</v>
      </c>
      <c r="F23">
        <v>-1.5866690531431971E-3</v>
      </c>
      <c r="G23">
        <v>1.4495780766981325E-2</v>
      </c>
    </row>
    <row r="24" spans="1:7" x14ac:dyDescent="0.3">
      <c r="A24">
        <v>44155</v>
      </c>
      <c r="B24">
        <v>19324.88</v>
      </c>
      <c r="C24">
        <v>18201.93</v>
      </c>
      <c r="D24">
        <v>17794.97</v>
      </c>
      <c r="E24">
        <v>18635.8</v>
      </c>
      <c r="F24">
        <v>-4.7250992836739725E-2</v>
      </c>
      <c r="G24">
        <v>-8.1832054597092085E-2</v>
      </c>
    </row>
    <row r="25" spans="1:7" x14ac:dyDescent="0.3">
      <c r="A25">
        <v>44156</v>
      </c>
      <c r="B25">
        <v>20328.689999999999</v>
      </c>
      <c r="C25">
        <v>18649.82</v>
      </c>
      <c r="D25">
        <v>18635.8</v>
      </c>
      <c r="E25">
        <v>18655.34</v>
      </c>
      <c r="F25">
        <v>-1.0485195161999972E-3</v>
      </c>
      <c r="G25">
        <v>-8.195051231314765E-2</v>
      </c>
    </row>
    <row r="26" spans="1:7" x14ac:dyDescent="0.3">
      <c r="A26">
        <v>44157</v>
      </c>
      <c r="B26">
        <v>19275.54</v>
      </c>
      <c r="C26">
        <v>17937.12</v>
      </c>
      <c r="D26">
        <v>18655.34</v>
      </c>
      <c r="E26">
        <v>18373.93</v>
      </c>
      <c r="F26">
        <v>1.5084688888007403E-2</v>
      </c>
      <c r="G26">
        <v>-1.4033245210589129E-2</v>
      </c>
    </row>
    <row r="27" spans="1:7" x14ac:dyDescent="0.3">
      <c r="A27">
        <v>44158</v>
      </c>
      <c r="B27">
        <v>20009.919999999998</v>
      </c>
      <c r="C27">
        <v>18334.810000000001</v>
      </c>
      <c r="D27">
        <v>18373.93</v>
      </c>
      <c r="E27">
        <v>18371.36</v>
      </c>
      <c r="F27">
        <v>1.398720905108064E-4</v>
      </c>
      <c r="G27">
        <v>-8.7712719415724782E-2</v>
      </c>
    </row>
    <row r="28" spans="1:7" x14ac:dyDescent="0.3">
      <c r="A28">
        <v>44159</v>
      </c>
      <c r="B28">
        <v>19157.16</v>
      </c>
      <c r="C28">
        <v>19105.439999999999</v>
      </c>
      <c r="D28">
        <v>18356.32</v>
      </c>
      <c r="E28">
        <v>19141.830000000002</v>
      </c>
      <c r="F28">
        <v>-4.1938647982511901E-2</v>
      </c>
      <c r="G28">
        <v>6.8129955838654999E-3</v>
      </c>
    </row>
    <row r="29" spans="1:7" x14ac:dyDescent="0.3">
      <c r="A29">
        <v>44160</v>
      </c>
      <c r="B29">
        <v>18961.02</v>
      </c>
      <c r="C29">
        <v>17936.099999999999</v>
      </c>
      <c r="D29">
        <v>19149.830000000002</v>
      </c>
      <c r="E29">
        <v>18676.32</v>
      </c>
      <c r="F29">
        <v>2.4318991444391758E-2</v>
      </c>
      <c r="G29">
        <v>5.8811861549142197E-2</v>
      </c>
    </row>
    <row r="30" spans="1:7" x14ac:dyDescent="0.3">
      <c r="A30">
        <v>44161</v>
      </c>
      <c r="B30">
        <v>17210.21</v>
      </c>
      <c r="C30">
        <v>17050.48</v>
      </c>
      <c r="D30">
        <v>18693.93</v>
      </c>
      <c r="E30">
        <v>17174.14</v>
      </c>
      <c r="F30">
        <v>8.04323335646423E-2</v>
      </c>
      <c r="G30">
        <v>8.6371619248331477E-2</v>
      </c>
    </row>
    <row r="31" spans="1:7" x14ac:dyDescent="0.3">
      <c r="A31">
        <v>44162</v>
      </c>
      <c r="B31">
        <v>17287.419999999998</v>
      </c>
      <c r="C31">
        <v>16898.29</v>
      </c>
      <c r="D31">
        <v>17151.650000000001</v>
      </c>
      <c r="E31">
        <v>17121.39</v>
      </c>
      <c r="F31">
        <v>3.0714783971715898E-3</v>
      </c>
      <c r="G31">
        <v>2.671946484179788E-3</v>
      </c>
    </row>
    <row r="32" spans="1:7" x14ac:dyDescent="0.3">
      <c r="A32">
        <v>44163</v>
      </c>
      <c r="B32">
        <v>18241.89</v>
      </c>
      <c r="C32">
        <v>17121.39</v>
      </c>
      <c r="D32">
        <v>17121.39</v>
      </c>
      <c r="E32">
        <v>17809.25</v>
      </c>
      <c r="F32">
        <v>-4.0175476406997257E-2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5E7F-1797-4A9A-A9C8-4C1DAC260B65}">
  <sheetPr codeName="Sheet23">
    <tabColor rgb="FFC6E0B4"/>
  </sheetPr>
  <dimension ref="A1:G99"/>
  <sheetViews>
    <sheetView workbookViewId="0"/>
  </sheetViews>
  <sheetFormatPr defaultRowHeight="14.4" x14ac:dyDescent="0.3"/>
  <cols>
    <col min="1" max="1" width="8.88671875" style="3"/>
    <col min="2" max="5" width="8.88671875" style="4"/>
    <col min="6" max="6" width="8.88671875" style="5"/>
    <col min="7" max="7" width="8.886718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44133</v>
      </c>
      <c r="B2">
        <v>0</v>
      </c>
      <c r="C2">
        <v>0</v>
      </c>
      <c r="D2">
        <v>0</v>
      </c>
      <c r="E2">
        <v>0</v>
      </c>
      <c r="F2"/>
      <c r="G2"/>
    </row>
    <row r="3" spans="1:7" x14ac:dyDescent="0.3">
      <c r="A3">
        <v>44133</v>
      </c>
      <c r="B3">
        <v>0</v>
      </c>
      <c r="C3">
        <v>0</v>
      </c>
      <c r="D3">
        <v>0</v>
      </c>
      <c r="E3">
        <v>0</v>
      </c>
      <c r="F3">
        <v>0</v>
      </c>
      <c r="G3">
        <v>1.2334210662125256E-2</v>
      </c>
    </row>
    <row r="4" spans="1:7" x14ac:dyDescent="0.3">
      <c r="A4">
        <v>44133</v>
      </c>
      <c r="B4">
        <v>0</v>
      </c>
      <c r="C4">
        <v>0</v>
      </c>
      <c r="D4">
        <v>0</v>
      </c>
      <c r="E4">
        <v>0</v>
      </c>
      <c r="F4">
        <v>0</v>
      </c>
      <c r="G4">
        <v>-1.0476538823283477E-2</v>
      </c>
    </row>
    <row r="5" spans="1:7" x14ac:dyDescent="0.3">
      <c r="A5">
        <v>44133</v>
      </c>
      <c r="B5">
        <v>0</v>
      </c>
      <c r="C5">
        <v>0</v>
      </c>
      <c r="D5">
        <v>0</v>
      </c>
      <c r="E5">
        <v>0</v>
      </c>
      <c r="F5">
        <v>0</v>
      </c>
      <c r="G5">
        <v>-2.5803449078263707E-2</v>
      </c>
    </row>
    <row r="6" spans="1:7" x14ac:dyDescent="0.3">
      <c r="A6">
        <v>44133</v>
      </c>
      <c r="B6">
        <v>0</v>
      </c>
      <c r="C6">
        <v>0</v>
      </c>
      <c r="D6">
        <v>0</v>
      </c>
      <c r="E6">
        <v>0</v>
      </c>
      <c r="F6">
        <v>0</v>
      </c>
      <c r="G6">
        <v>3.3119092627599156E-2</v>
      </c>
    </row>
    <row r="7" spans="1:7" x14ac:dyDescent="0.3">
      <c r="A7">
        <v>44133</v>
      </c>
      <c r="B7">
        <v>0</v>
      </c>
      <c r="C7">
        <v>0</v>
      </c>
      <c r="D7">
        <v>0</v>
      </c>
      <c r="E7">
        <v>0</v>
      </c>
      <c r="F7">
        <v>0</v>
      </c>
      <c r="G7">
        <v>-1.191314095044449E-2</v>
      </c>
    </row>
    <row r="8" spans="1:7" x14ac:dyDescent="0.3">
      <c r="A8">
        <v>44133</v>
      </c>
      <c r="B8">
        <v>0</v>
      </c>
      <c r="C8">
        <v>0</v>
      </c>
      <c r="D8">
        <v>0</v>
      </c>
      <c r="E8">
        <v>0</v>
      </c>
      <c r="F8">
        <v>0</v>
      </c>
      <c r="G8">
        <v>-3.730228244628786E-2</v>
      </c>
    </row>
    <row r="9" spans="1:7" x14ac:dyDescent="0.3">
      <c r="A9">
        <v>44133</v>
      </c>
      <c r="B9">
        <v>0</v>
      </c>
      <c r="C9">
        <v>0</v>
      </c>
      <c r="D9">
        <v>0</v>
      </c>
      <c r="E9">
        <v>0</v>
      </c>
      <c r="F9">
        <v>0</v>
      </c>
      <c r="G9">
        <v>-3.5339989072666667E-2</v>
      </c>
    </row>
    <row r="10" spans="1:7" x14ac:dyDescent="0.3">
      <c r="A10">
        <v>44133</v>
      </c>
      <c r="B10">
        <v>0</v>
      </c>
      <c r="C10">
        <v>0</v>
      </c>
      <c r="D10">
        <v>0</v>
      </c>
      <c r="E10">
        <v>0</v>
      </c>
      <c r="F10">
        <v>0</v>
      </c>
      <c r="G10">
        <v>-9.4581304420830348E-2</v>
      </c>
    </row>
    <row r="11" spans="1:7" x14ac:dyDescent="0.3">
      <c r="A11">
        <v>44133</v>
      </c>
      <c r="B11">
        <v>0</v>
      </c>
      <c r="C11">
        <v>0</v>
      </c>
      <c r="D11">
        <v>0</v>
      </c>
      <c r="E11">
        <v>0</v>
      </c>
      <c r="F11">
        <v>0</v>
      </c>
      <c r="G11">
        <v>4.4924614305750343E-2</v>
      </c>
    </row>
    <row r="12" spans="1:7" x14ac:dyDescent="0.3">
      <c r="A12">
        <v>44133</v>
      </c>
      <c r="B12">
        <v>0</v>
      </c>
      <c r="C12">
        <v>0</v>
      </c>
      <c r="D12">
        <v>0</v>
      </c>
      <c r="E12">
        <v>0</v>
      </c>
      <c r="F12">
        <v>0</v>
      </c>
      <c r="G12">
        <v>-4.3412417970721817E-2</v>
      </c>
    </row>
    <row r="13" spans="1:7" x14ac:dyDescent="0.3">
      <c r="A13">
        <v>44133</v>
      </c>
      <c r="B13">
        <v>0</v>
      </c>
      <c r="C13">
        <v>0</v>
      </c>
      <c r="D13">
        <v>0</v>
      </c>
      <c r="E13">
        <v>0</v>
      </c>
      <c r="F13">
        <v>0</v>
      </c>
      <c r="G13">
        <v>2.2628315081145267E-2</v>
      </c>
    </row>
    <row r="14" spans="1:7" x14ac:dyDescent="0.3">
      <c r="A14">
        <v>44133</v>
      </c>
      <c r="B14">
        <v>0</v>
      </c>
      <c r="C14">
        <v>0</v>
      </c>
      <c r="D14">
        <v>0</v>
      </c>
      <c r="E14">
        <v>0</v>
      </c>
      <c r="F14">
        <v>0</v>
      </c>
      <c r="G14">
        <v>-1.4422319721003607E-2</v>
      </c>
    </row>
    <row r="15" spans="1:7" x14ac:dyDescent="0.3">
      <c r="A15">
        <v>44133</v>
      </c>
      <c r="B15">
        <v>0</v>
      </c>
      <c r="C15">
        <v>0</v>
      </c>
      <c r="D15">
        <v>0</v>
      </c>
      <c r="E15">
        <v>0</v>
      </c>
      <c r="F15">
        <v>0</v>
      </c>
      <c r="G15">
        <v>-2.8944683493767442E-2</v>
      </c>
    </row>
    <row r="16" spans="1:7" x14ac:dyDescent="0.3">
      <c r="A16">
        <v>44133</v>
      </c>
      <c r="B16">
        <v>0</v>
      </c>
      <c r="C16">
        <v>0</v>
      </c>
      <c r="D16">
        <v>0</v>
      </c>
      <c r="E16">
        <v>0</v>
      </c>
      <c r="F16">
        <v>0</v>
      </c>
      <c r="G16">
        <v>2.4358172921472576E-3</v>
      </c>
    </row>
    <row r="17" spans="1:7" x14ac:dyDescent="0.3">
      <c r="A17">
        <v>44133</v>
      </c>
      <c r="B17">
        <v>0</v>
      </c>
      <c r="C17">
        <v>0</v>
      </c>
      <c r="D17">
        <v>0</v>
      </c>
      <c r="E17">
        <v>0</v>
      </c>
      <c r="F17">
        <v>0</v>
      </c>
      <c r="G17">
        <v>-3.0446432430096371E-2</v>
      </c>
    </row>
    <row r="18" spans="1:7" x14ac:dyDescent="0.3">
      <c r="A18">
        <v>44133</v>
      </c>
      <c r="B18">
        <v>0</v>
      </c>
      <c r="C18">
        <v>0</v>
      </c>
      <c r="D18">
        <v>0</v>
      </c>
      <c r="E18">
        <v>0</v>
      </c>
      <c r="F18">
        <v>0</v>
      </c>
      <c r="G18">
        <v>3.3216599911925715E-2</v>
      </c>
    </row>
    <row r="19" spans="1:7" x14ac:dyDescent="0.3">
      <c r="A19">
        <v>44133</v>
      </c>
      <c r="B19">
        <v>0</v>
      </c>
      <c r="C19">
        <v>0</v>
      </c>
      <c r="D19">
        <v>0</v>
      </c>
      <c r="E19">
        <v>0</v>
      </c>
      <c r="F19">
        <v>0</v>
      </c>
      <c r="G19">
        <v>2.7156584170227482E-2</v>
      </c>
    </row>
    <row r="20" spans="1:7" x14ac:dyDescent="0.3">
      <c r="A20">
        <v>44133</v>
      </c>
      <c r="B20">
        <v>0</v>
      </c>
      <c r="C20">
        <v>0</v>
      </c>
      <c r="D20">
        <v>0</v>
      </c>
      <c r="E20">
        <v>0</v>
      </c>
      <c r="F20">
        <v>0</v>
      </c>
      <c r="G20">
        <v>-2.7870058638603368E-2</v>
      </c>
    </row>
    <row r="21" spans="1:7" x14ac:dyDescent="0.3">
      <c r="A21">
        <v>44133</v>
      </c>
      <c r="B21">
        <v>0</v>
      </c>
      <c r="C21">
        <v>0</v>
      </c>
      <c r="D21">
        <v>0</v>
      </c>
      <c r="E21">
        <v>0</v>
      </c>
      <c r="F21">
        <v>0</v>
      </c>
      <c r="G21">
        <v>-4.7070562460684195E-2</v>
      </c>
    </row>
    <row r="22" spans="1:7" x14ac:dyDescent="0.3">
      <c r="A22">
        <v>44133</v>
      </c>
      <c r="B22">
        <v>0</v>
      </c>
      <c r="C22">
        <v>0</v>
      </c>
      <c r="D22">
        <v>0</v>
      </c>
      <c r="E22">
        <v>0</v>
      </c>
      <c r="F22">
        <v>0</v>
      </c>
      <c r="G22">
        <v>8.1829669988191522E-3</v>
      </c>
    </row>
    <row r="23" spans="1:7" x14ac:dyDescent="0.3">
      <c r="A23">
        <v>44133</v>
      </c>
      <c r="B23">
        <v>0</v>
      </c>
      <c r="C23">
        <v>0</v>
      </c>
      <c r="D23">
        <v>0</v>
      </c>
      <c r="E23">
        <v>0</v>
      </c>
      <c r="F23">
        <v>0</v>
      </c>
      <c r="G23">
        <v>1.4495780766981325E-2</v>
      </c>
    </row>
    <row r="24" spans="1:7" x14ac:dyDescent="0.3">
      <c r="A24">
        <v>44133</v>
      </c>
      <c r="B24">
        <v>0</v>
      </c>
      <c r="C24">
        <v>0</v>
      </c>
      <c r="D24">
        <v>0</v>
      </c>
      <c r="E24">
        <v>0</v>
      </c>
      <c r="F24">
        <v>0</v>
      </c>
      <c r="G24">
        <v>-8.1832054597092085E-2</v>
      </c>
    </row>
    <row r="25" spans="1:7" x14ac:dyDescent="0.3">
      <c r="A25">
        <v>44133</v>
      </c>
      <c r="B25">
        <v>0</v>
      </c>
      <c r="C25">
        <v>0</v>
      </c>
      <c r="D25">
        <v>0</v>
      </c>
      <c r="E25">
        <v>0</v>
      </c>
      <c r="F25">
        <v>0</v>
      </c>
      <c r="G25">
        <v>-8.195051231314765E-2</v>
      </c>
    </row>
    <row r="26" spans="1:7" x14ac:dyDescent="0.3">
      <c r="A26">
        <v>44133</v>
      </c>
      <c r="B26">
        <v>0</v>
      </c>
      <c r="C26">
        <v>0</v>
      </c>
      <c r="D26">
        <v>0</v>
      </c>
      <c r="E26">
        <v>0</v>
      </c>
      <c r="F26">
        <v>0</v>
      </c>
      <c r="G26">
        <v>-1.4033245210589129E-2</v>
      </c>
    </row>
    <row r="27" spans="1:7" x14ac:dyDescent="0.3">
      <c r="A27">
        <v>44133</v>
      </c>
      <c r="B27">
        <v>0</v>
      </c>
      <c r="C27">
        <v>0</v>
      </c>
      <c r="D27">
        <v>0</v>
      </c>
      <c r="E27">
        <v>0</v>
      </c>
      <c r="F27">
        <v>0</v>
      </c>
      <c r="G27">
        <v>-8.7712719415724782E-2</v>
      </c>
    </row>
    <row r="28" spans="1:7" x14ac:dyDescent="0.3">
      <c r="A28">
        <v>44133</v>
      </c>
      <c r="B28">
        <v>0</v>
      </c>
      <c r="C28">
        <v>0</v>
      </c>
      <c r="D28">
        <v>0</v>
      </c>
      <c r="E28">
        <v>0</v>
      </c>
      <c r="F28">
        <v>0</v>
      </c>
      <c r="G28">
        <v>6.8129955838654999E-3</v>
      </c>
    </row>
    <row r="29" spans="1:7" x14ac:dyDescent="0.3">
      <c r="A29">
        <v>44133</v>
      </c>
      <c r="B29">
        <v>0</v>
      </c>
      <c r="C29">
        <v>0</v>
      </c>
      <c r="D29">
        <v>0</v>
      </c>
      <c r="E29">
        <v>0</v>
      </c>
      <c r="F29">
        <v>0</v>
      </c>
      <c r="G29">
        <v>5.8811861549142197E-2</v>
      </c>
    </row>
    <row r="30" spans="1:7" x14ac:dyDescent="0.3">
      <c r="A30">
        <v>44133</v>
      </c>
      <c r="B30">
        <v>0</v>
      </c>
      <c r="C30">
        <v>0</v>
      </c>
      <c r="D30">
        <v>0</v>
      </c>
      <c r="E30">
        <v>0</v>
      </c>
      <c r="F30">
        <v>0</v>
      </c>
      <c r="G30">
        <v>8.6371619248331477E-2</v>
      </c>
    </row>
    <row r="31" spans="1:7" x14ac:dyDescent="0.3">
      <c r="A31">
        <v>44133</v>
      </c>
      <c r="B31">
        <v>0</v>
      </c>
      <c r="C31">
        <v>0</v>
      </c>
      <c r="D31">
        <v>0</v>
      </c>
      <c r="E31">
        <v>0</v>
      </c>
      <c r="F31">
        <v>0</v>
      </c>
      <c r="G31">
        <v>2.671946484179788E-3</v>
      </c>
    </row>
    <row r="32" spans="1:7" x14ac:dyDescent="0.3">
      <c r="A32">
        <v>44133</v>
      </c>
      <c r="B32">
        <v>0</v>
      </c>
      <c r="C32">
        <v>0</v>
      </c>
      <c r="D32">
        <v>0</v>
      </c>
      <c r="E32">
        <v>0</v>
      </c>
      <c r="F32">
        <v>0</v>
      </c>
      <c r="G32">
        <v>-4.9727270975078453E-2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AppSettings</vt:lpstr>
      <vt:lpstr>Portfolio</vt:lpstr>
      <vt:lpstr>SymbolData</vt:lpstr>
      <vt:lpstr>MKR</vt:lpstr>
      <vt:lpstr>SNX</vt:lpstr>
      <vt:lpstr>UNI</vt:lpstr>
      <vt:lpstr>YFI</vt:lpstr>
      <vt:lpstr>COMP</vt:lpstr>
      <vt:lpstr>REN</vt:lpstr>
      <vt:lpstr>LRC</vt:lpstr>
      <vt:lpstr>KNC</vt:lpstr>
      <vt:lpstr>BAL</vt:lpstr>
      <vt:lpstr>REP</vt:lpstr>
      <vt:lpstr>LINK</vt:lpstr>
      <vt:lpstr>BTC</vt:lpstr>
      <vt:lpstr>USDC</vt:lpstr>
      <vt:lpstr>ETH</vt:lpstr>
      <vt:lpstr>AAVE</vt:lpstr>
      <vt:lpstr>WBTC</vt:lpstr>
      <vt:lpstr>FARM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krugman</dc:creator>
  <cp:lastModifiedBy>Dad</cp:lastModifiedBy>
  <dcterms:created xsi:type="dcterms:W3CDTF">2020-11-02T03:50:38Z</dcterms:created>
  <dcterms:modified xsi:type="dcterms:W3CDTF">2020-11-28T20:36:23Z</dcterms:modified>
</cp:coreProperties>
</file>